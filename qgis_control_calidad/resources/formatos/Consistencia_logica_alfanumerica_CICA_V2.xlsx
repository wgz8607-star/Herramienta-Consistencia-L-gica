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IGAC - Catastro\Desarrollo\ACTUALIZACION HERRAMIENTA CICA\"/>
    </mc:Choice>
  </mc:AlternateContent>
  <xr:revisionPtr revIDLastSave="6" documentId="11_CDC81C8992D68300DEBEC3DD12A0C9DAD17C4AAB" xr6:coauthVersionLast="47" xr6:coauthVersionMax="47" xr10:uidLastSave="{62FDE842-FAE7-419F-BAF4-272112FF75E9}"/>
  <bookViews>
    <workbookView xWindow="0" yWindow="0" windowWidth="23040" windowHeight="8205" tabRatio="833" firstSheet="2" activeTab="6" xr2:uid="{00000000-000D-0000-FFFF-FFFF00000000}"/>
  </bookViews>
  <sheets>
    <sheet name="Datos" sheetId="7" r:id="rId1"/>
    <sheet name="0. Estructura" sheetId="13" r:id="rId2"/>
    <sheet name="1. Administrativo" sheetId="1" r:id="rId3"/>
    <sheet name="2. Jurídico" sheetId="2" r:id="rId4"/>
    <sheet name="3. Fisico" sheetId="9" r:id="rId5"/>
    <sheet name="4. Economico" sheetId="4" r:id="rId6"/>
    <sheet name="Resumen" sheetId="11" r:id="rId7"/>
  </sheets>
  <externalReferences>
    <externalReference r:id="rId8"/>
  </externalReferences>
  <definedNames>
    <definedName name="_xlnm.Print_Area" localSheetId="2">'1. Administrativo'!$A$1:$I$34</definedName>
    <definedName name="_xlnm.Print_Area" localSheetId="3">'2. Jurídico'!$A$1:$I$42</definedName>
    <definedName name="_xlnm.Print_Area" localSheetId="0">Datos!$A$1:$D$57</definedName>
    <definedName name="item_1.1">[1]Datos!$C$2</definedName>
    <definedName name="Item1.2">[1]Datos!$C$3</definedName>
    <definedName name="_xlnm.Print_Titles" localSheetId="2">'1. Administrativo'!$1:$6</definedName>
    <definedName name="_xlnm.Print_Titles" localSheetId="3">'2. Jurídico'!$1:$6</definedName>
    <definedName name="_xlnm.Print_Titles" localSheetId="0">Datos!$1:$1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4" l="1"/>
  <c r="F8" i="9"/>
  <c r="F9" i="9"/>
  <c r="F10" i="9"/>
  <c r="F11" i="9"/>
  <c r="F12" i="9"/>
  <c r="F13" i="9"/>
  <c r="F14" i="9"/>
  <c r="F15" i="9"/>
  <c r="F16" i="9"/>
  <c r="F17" i="9"/>
  <c r="F18" i="9"/>
  <c r="F19" i="9"/>
  <c r="F20" i="9"/>
  <c r="F21" i="9"/>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8" i="1"/>
  <c r="F9" i="1"/>
  <c r="F10" i="1"/>
  <c r="F11" i="1"/>
  <c r="F12" i="1"/>
  <c r="F13" i="1"/>
  <c r="F14" i="1"/>
  <c r="F15" i="1"/>
  <c r="F16" i="1"/>
  <c r="F17" i="1"/>
  <c r="F18" i="1"/>
  <c r="F19" i="1"/>
  <c r="F20" i="1"/>
  <c r="F21" i="1"/>
  <c r="F22" i="1"/>
  <c r="F23" i="1"/>
  <c r="F24" i="1"/>
  <c r="F25" i="1"/>
  <c r="F26" i="1"/>
  <c r="F27" i="1"/>
  <c r="F28" i="1"/>
  <c r="F29" i="1"/>
  <c r="F30" i="1"/>
  <c r="F31" i="1"/>
  <c r="F32" i="1"/>
  <c r="F33" i="1"/>
  <c r="E9" i="11" l="1"/>
  <c r="C8" i="4"/>
  <c r="G8" i="4" s="1"/>
  <c r="C7" i="4"/>
  <c r="C21" i="9"/>
  <c r="G21" i="9" s="1"/>
  <c r="C20" i="9"/>
  <c r="G20" i="9" s="1"/>
  <c r="C19" i="9"/>
  <c r="G19" i="9" s="1"/>
  <c r="C18" i="9"/>
  <c r="G18" i="9" s="1"/>
  <c r="C17" i="9"/>
  <c r="G17" i="9" s="1"/>
  <c r="C16" i="9"/>
  <c r="G16" i="9" s="1"/>
  <c r="C15" i="9"/>
  <c r="G15" i="9" s="1"/>
  <c r="C14" i="9"/>
  <c r="G14" i="9" s="1"/>
  <c r="C13" i="9"/>
  <c r="G13" i="9" s="1"/>
  <c r="C12" i="9"/>
  <c r="G12" i="9" s="1"/>
  <c r="C11" i="9"/>
  <c r="G11" i="9" s="1"/>
  <c r="C10" i="9"/>
  <c r="G10" i="9" s="1"/>
  <c r="C9" i="9"/>
  <c r="G9" i="9" s="1"/>
  <c r="C8" i="9"/>
  <c r="G8" i="9" s="1"/>
  <c r="C7" i="9"/>
  <c r="C41" i="2"/>
  <c r="G41" i="2" s="1"/>
  <c r="C40" i="2"/>
  <c r="G40" i="2" s="1"/>
  <c r="C39" i="2"/>
  <c r="G39" i="2" s="1"/>
  <c r="C38" i="2"/>
  <c r="G38" i="2" s="1"/>
  <c r="C37" i="2"/>
  <c r="G37" i="2" s="1"/>
  <c r="C36" i="2"/>
  <c r="G36" i="2" s="1"/>
  <c r="C35" i="2"/>
  <c r="G35" i="2" s="1"/>
  <c r="C34" i="2"/>
  <c r="G34" i="2" s="1"/>
  <c r="C33" i="2"/>
  <c r="G33" i="2" s="1"/>
  <c r="C32" i="2"/>
  <c r="G32" i="2" s="1"/>
  <c r="C31" i="2"/>
  <c r="G31" i="2" s="1"/>
  <c r="C30" i="2"/>
  <c r="G30" i="2" s="1"/>
  <c r="C29" i="2"/>
  <c r="G29" i="2" s="1"/>
  <c r="C28" i="2"/>
  <c r="G28" i="2" s="1"/>
  <c r="C27" i="2"/>
  <c r="G27" i="2" s="1"/>
  <c r="C26" i="2"/>
  <c r="G26" i="2" s="1"/>
  <c r="C25" i="2"/>
  <c r="G25" i="2" s="1"/>
  <c r="C24" i="2"/>
  <c r="G24" i="2" s="1"/>
  <c r="C23" i="2"/>
  <c r="G23" i="2" s="1"/>
  <c r="C22" i="2"/>
  <c r="G22" i="2" s="1"/>
  <c r="C21" i="2"/>
  <c r="G21" i="2" s="1"/>
  <c r="C20" i="2"/>
  <c r="G20" i="2" s="1"/>
  <c r="C19" i="2"/>
  <c r="G19" i="2" s="1"/>
  <c r="C18" i="2"/>
  <c r="G18" i="2" s="1"/>
  <c r="C17" i="2"/>
  <c r="G17" i="2" s="1"/>
  <c r="C16" i="2"/>
  <c r="G16" i="2" s="1"/>
  <c r="C15" i="2"/>
  <c r="G15" i="2" s="1"/>
  <c r="C14" i="2"/>
  <c r="G14" i="2" s="1"/>
  <c r="C13" i="2"/>
  <c r="G13" i="2" s="1"/>
  <c r="C12" i="2"/>
  <c r="G12" i="2" s="1"/>
  <c r="C11" i="2"/>
  <c r="G11" i="2" s="1"/>
  <c r="C10" i="2"/>
  <c r="G10" i="2" s="1"/>
  <c r="C9" i="2"/>
  <c r="G9" i="2" s="1"/>
  <c r="C8" i="2"/>
  <c r="G8" i="2" s="1"/>
  <c r="C7" i="2"/>
  <c r="C33" i="1"/>
  <c r="G33" i="1" s="1"/>
  <c r="C32" i="1"/>
  <c r="G32" i="1" s="1"/>
  <c r="C31" i="1"/>
  <c r="G31" i="1" s="1"/>
  <c r="C30" i="1"/>
  <c r="G30" i="1" s="1"/>
  <c r="C29" i="1"/>
  <c r="G29" i="1" s="1"/>
  <c r="C28" i="1"/>
  <c r="G28" i="1" s="1"/>
  <c r="C27" i="1"/>
  <c r="G27" i="1" s="1"/>
  <c r="C26" i="1"/>
  <c r="G26" i="1" s="1"/>
  <c r="C25" i="1"/>
  <c r="G25" i="1" s="1"/>
  <c r="C24" i="1"/>
  <c r="G24" i="1" s="1"/>
  <c r="C23" i="1"/>
  <c r="G23" i="1" s="1"/>
  <c r="C22" i="1"/>
  <c r="G22" i="1" s="1"/>
  <c r="C21" i="1"/>
  <c r="G21" i="1" s="1"/>
  <c r="C20" i="1"/>
  <c r="G20" i="1" s="1"/>
  <c r="C19" i="1"/>
  <c r="G19" i="1" s="1"/>
  <c r="C18" i="1"/>
  <c r="G18" i="1" s="1"/>
  <c r="C17" i="1"/>
  <c r="G17" i="1" s="1"/>
  <c r="C16" i="1"/>
  <c r="G16" i="1" s="1"/>
  <c r="C15" i="1"/>
  <c r="G15" i="1" s="1"/>
  <c r="C14" i="1"/>
  <c r="G14" i="1" s="1"/>
  <c r="C13" i="1"/>
  <c r="G13" i="1" s="1"/>
  <c r="C12" i="1"/>
  <c r="G12" i="1" s="1"/>
  <c r="C11" i="1"/>
  <c r="G11" i="1" s="1"/>
  <c r="C10" i="1"/>
  <c r="G10" i="1" s="1"/>
  <c r="C9" i="1"/>
  <c r="G9" i="1" s="1"/>
  <c r="C8" i="1"/>
  <c r="G8" i="1" s="1"/>
  <c r="C7" i="1"/>
  <c r="F7" i="1" l="1"/>
  <c r="G7" i="1" s="1"/>
  <c r="E12" i="11" l="1"/>
  <c r="E11" i="11"/>
  <c r="E10" i="11"/>
  <c r="C8" i="11"/>
  <c r="F9" i="13"/>
  <c r="E14" i="11" l="1"/>
  <c r="C9" i="11"/>
  <c r="F7" i="9"/>
  <c r="C11" i="11" s="1"/>
  <c r="G7" i="9" l="1"/>
  <c r="F7" i="4" l="1"/>
  <c r="F7" i="2"/>
  <c r="G7" i="2" l="1"/>
  <c r="C10" i="11"/>
  <c r="G7" i="4"/>
  <c r="C12" i="11"/>
  <c r="C14"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34" authorId="0" shapeId="0" xr:uid="{00000000-0006-0000-0200-000001000000}">
      <text>
        <r>
          <rPr>
            <b/>
            <sz val="9"/>
            <color indexed="81"/>
            <rFont val="Tahoma"/>
            <family val="2"/>
          </rPr>
          <t xml:space="preserve">Calcular con la formular "=Promedio" considerando únicamente los porcentajes calculados de la columna "G"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42" authorId="0" shapeId="0" xr:uid="{00000000-0006-0000-0300-000001000000}">
      <text>
        <r>
          <rPr>
            <b/>
            <sz val="9"/>
            <color indexed="81"/>
            <rFont val="Tahoma"/>
            <family val="2"/>
          </rPr>
          <t xml:space="preserve">Calcular con la formular "=Promedio" considerando únicamente los porcentajes calculados de la columna "G"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22" authorId="0" shapeId="0" xr:uid="{00000000-0006-0000-0400-000001000000}">
      <text>
        <r>
          <rPr>
            <b/>
            <sz val="9"/>
            <color indexed="81"/>
            <rFont val="Tahoma"/>
            <family val="2"/>
          </rPr>
          <t xml:space="preserve">Calcular con la formular "=Promedio" considerando únicamente los porcentajes calculados de la columna "G"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9" authorId="0" shapeId="0" xr:uid="{00000000-0006-0000-0500-000001000000}">
      <text>
        <r>
          <rPr>
            <b/>
            <sz val="9"/>
            <color indexed="81"/>
            <rFont val="Tahoma"/>
            <family val="2"/>
          </rPr>
          <t xml:space="preserve">Calcular con la formular "=Promedio" considerando únicamente los porcentajes calculados de la columna "G"
</t>
        </r>
      </text>
    </comment>
  </commentList>
</comments>
</file>

<file path=xl/sharedStrings.xml><?xml version="1.0" encoding="utf-8"?>
<sst xmlns="http://schemas.openxmlformats.org/spreadsheetml/2006/main" count="303" uniqueCount="217">
  <si>
    <t>id</t>
  </si>
  <si>
    <t>descripcion</t>
  </si>
  <si>
    <t>cantidad</t>
  </si>
  <si>
    <t>reglas_validacion_afectadas</t>
  </si>
  <si>
    <t>Registros de Datos_Predio donde el digito 22 de Datos_Predio.Numero Predial sea igual a "0" o "2" o "3" o "4" o "7" y con Datos Predio.Estado = Activo y Datos Predio.Etapa = "CONTROL_CALIDAD_GENERAL" o "CONTROL_CALIDAD_GRUPO"</t>
  </si>
  <si>
    <t>Registros de Datos Predio donde Datos Predio.Condicion Predio Tipo = "Matriz" con Datos Predio.Estado = Activo y Datos Predio.Etapa = "CONTROL_CALIDAD_GENERAL" o "CONTROL_CALIDAD_GRUPO"</t>
  </si>
  <si>
    <t>Registros de Datos Predio donde Datos Predio.Condicion Predio Tipo es PH.Unidad_Predial con Datos Predio.Estado = Activo y Datos Predio.Etapa = "CONTROL_CALIDAD_GENERAL" o "CONTROL_CALIDAD_GRUPO"</t>
  </si>
  <si>
    <t>Registros de Datos Predio Datos  donde Datos Predio.Condicion Predio Tipo = Condominio.Matriz con Datos Predio.Estado = Activo y Datos Predio.Etapa = "CONTROL_CALIDAD_GENERAL" o "CONTROL_CALIDAD_GRUPO"</t>
  </si>
  <si>
    <t>Registros de  Datos Predio donde Predio.Condicion Predio Tipo = Condominio.Unidad Predial con Datos Predio.Estado = Activo y Datos Predio.Etapa = "CONTROL_CALIDAD_GENERAL" o "CONTROL_CALIDAD_GRUPO"</t>
  </si>
  <si>
    <t>Registros de Datos_Predio donde el digito 22 de Datos_Predio.Numero Predial sea igual a "1" o "5" o "6" con Datos Predio.Estado = Activo y Datos Predio.Etapa = "CONTROL_CALIDAD_GENERAL" o "CONTROL_CALIDAD_GRUPO"</t>
  </si>
  <si>
    <t>Todos los registros de Datos Predio-Derecho en estado Activo con Datos Predio.Estado = Activo y Datos Predio.Etapa = "CONTROL_CALIDAD_GENERAL" o "CONTROL_CALIDAD_GRUPO"</t>
  </si>
  <si>
    <t>1.9 , 1.10 , 2,4</t>
  </si>
  <si>
    <t>Todos los registros de Datos Predio en estado Activo con Datos Predio.Estado = Activo y Datos Predio.Etapa = "CONTROL_CALIDAD_GENERAL" o "CONTROL_CALIDAD_GRUPO"</t>
  </si>
  <si>
    <t>1.12 , 1.23, 2,38</t>
  </si>
  <si>
    <t>Todos los registros de Datos Predios con Datos Predio.Matricula diligenciado, que en Datos Predio.Estado = Activo y Datos Predio.Etapa = "CONTROL_CALIDAD_GENERAL" o "CONTROL_CALIDAD_GRUPO"</t>
  </si>
  <si>
    <t>1.13 , 1.14 , 2,1, 2.16</t>
  </si>
  <si>
    <t>Registros de Datos Predio.Circulo Registral diligenciado con Datos Predio.Estado = Activo y Datos Predio.Etapa = "CONTROL_CALIDAD_GENERAL" o "CONTROL_CALIDAD_GRUPO"</t>
  </si>
  <si>
    <t>1.15</t>
  </si>
  <si>
    <t>Registros de Datos Predio.Destino = R,S,T con Datos Predio.Estado = Activo y Datos Predio.Etapa = "CONTROL_CALIDAD_GENERAL" o "CONTROL_CALIDAD_GRUPO"</t>
  </si>
  <si>
    <t>Registros de Datos Predio.Destino = A, B, C, F, G, I, J, X con Datos Predio.Estado = Activo y Datos Predio.Etapa = "CONTROL_CALIDAD_GENERAL" o "CONTROL_CALIDAD_GRUPO"</t>
  </si>
  <si>
    <t>Registros de Datos Predio.Destino = 'U','L','N','M','Z','O','AA','AC','W','R','S' con Datos Predio.Estado = Activo y Datos Predio.Etapa = "CONTROL_CALIDAD_GENERAL" o "CONTROL_CALIDAD_GRUPO"</t>
  </si>
  <si>
    <t>Registros de Datos Predio.Tiene FMI = No con Datos Predio.Estado = Activo y Datos Predio.Etapa = "CONTROL_CALIDAD_GENERAL" o "CONTROL_CALIDAD_GRUPO"</t>
  </si>
  <si>
    <t>Registros de Datos Predio.Condicion Predio Tipo  = NPH, Matriz ó Condominio.Matriz,  Condominio.Unidad_Predial con Datos Predio.Estado = Activo y Datos Predio.Etapa = "CONTROL_CALIDAD_GENERAL" o "CONTROL_CALIDAD_GRUPO"</t>
  </si>
  <si>
    <t>Registros de Datos Contacto con Datos Contacto.Primer Nombre y Datos Contacto.Primer Apellido diligenciados con Datos Predio.Estado = Activo y Datos Predio.Etapa = "CONTROL_CALIDAD_GENERAL" o "CONTROL_CALIDAD_GRUPO"</t>
  </si>
  <si>
    <t>Registros de Datos Contacto con Datos Contacto.Numero Documento diligenciados y con estado Activo con Datos Predio.Estado = Activo y Datos Predio.Etapa = "CONTROL_CALIDAD_GENERAL" o "CONTROL_CALIDAD_GRUPO"</t>
  </si>
  <si>
    <t>1.50</t>
  </si>
  <si>
    <t>Todos los registros de Datos Contacto con estado Activo con Datos Predio.Estado = Activo y Datos Predio.Etapa = "CONTROL_CALIDAD_GENERAL" o "CONTROL_CALIDAD_GRUPO"</t>
  </si>
  <si>
    <t>1.51 , 1.55</t>
  </si>
  <si>
    <t>Registros de Datos Contacto con Datos Contacto.Celular diligenciados y con estado Activo con Datos Predio.Estado = Activo y Datos Predio.Etapa = "CONTROL_CALIDAD_GENERAL" o "CONTROL_CALIDAD_GRUPO"</t>
  </si>
  <si>
    <t>1.52</t>
  </si>
  <si>
    <t>Registros de Datos Contacto con Datos Contacto.Correo Electronico diligenciados con Datos Predio.Estado = Activo y Datos Predio.Etapa = "CONTROL_CALIDAD_GENERAL" o "CONTROL_CALIDAD_GRUPO"</t>
  </si>
  <si>
    <t>1.53</t>
  </si>
  <si>
    <t>Registros de Datos Contacto con Datos Contacto.Autoriza Notificacion = "SI" con Datos Predio.Estado = Activo y Datos Predio.Etapa = "CONTROL_CALIDAD_GENERAL" o "CONTROL_CALIDAD_GRUPO"</t>
  </si>
  <si>
    <t>1.54</t>
  </si>
  <si>
    <t>Registros de Datos Contacto con Datos Contacto.Direccion diligenciado con Datos Predio.Estado = Activo y Datos Predio.Etapa = "CONTROL_CALIDAD_GENERAL" o "CONTROL_CALIDAD_GRUPO"</t>
  </si>
  <si>
    <t>1.56</t>
  </si>
  <si>
    <t>Registros de Datos Predio con Datos Predio.Condicion Predio Tipo = PH.Unidad Predial  con Datos Predio.Estado = Activo y Datos Predio.Etapa = "CONTROL_CALIDAD_GENERAL" o "CONTROL_CALIDAD_GRUPO"</t>
  </si>
  <si>
    <t>1.60</t>
  </si>
  <si>
    <t>Registros de Datos_Predio donde el digito 22 de Datos_Predio.Numero Predial sea difrente a "2" y con Datos Predio.Estado = Activo y Datos Predio.Etapa = "CONTROL_CALIDAD_GENERAL" o "CONTROL_CALIDAD_GRUPO"</t>
  </si>
  <si>
    <t>Registros con Datos Predio.Tipo Predio = “Privado” y  Datos Predio - Derecho.Tipo Derecho = “Dominio” con Datos Predio.Estado = Activo y Datos Predio.Etapa = "CONTROL_CALIDAD_GENERAL" o "CONTROL_CALIDAD_GRUPO"</t>
  </si>
  <si>
    <t>Datos Predio - Derecho.Tipo Derecho = “Posesion”  con Datos Predio.Estado = Activo y Datos Predio.Etapa = "CONTROL_CALIDAD_GENERAL" o "CONTROL_CALIDAD_GRUPO"</t>
  </si>
  <si>
    <t>Datos Predio.Tipo Predio = “Privado”    con Datos Predio.Estado = Activo y Datos Predio.Etapa = "CONTROL_CALIDAD_GENERAL" o "CONTROL_CALIDAD_GRUPO"</t>
  </si>
  <si>
    <t>Datos Predio.Tipo Predio = “Publico.Baldio” ó “Publico.Fiscal” ó “Publico.Patrimonial” ó “Publico.Uso_Publico” con Datos Predio.Estado = Activo y Datos Predio.Etapa = "CONTROL_CALIDAD_GENERAL" o "CONTROL_CALIDAD_GRUPO"</t>
  </si>
  <si>
    <t>Datos Predio.Tipo Predio = “Publico.Baldio” y Datos Predio - Derecho.Tipo Derecho = “Dominio” con Datos Predio.Estado = Activo y Datos Predio.Etapa = "CONTROL_CALIDAD_GENERAL" o "CONTROL_CALIDAD_GRUPO"</t>
  </si>
  <si>
    <t>2.10, 2.13</t>
  </si>
  <si>
    <t>Datos Predio.Tipo Predio = Territorio_Colectivo con Datos Predio.Estado = Activo y Datos Predio.Etapa = "CONTROL_CALIDAD_GENERAL" o "CONTROL_CALIDAD_GRUPO"</t>
  </si>
  <si>
    <t>2.11</t>
  </si>
  <si>
    <t>Datos Predio.Tipo Predio = “Publico.Baldio” y Datos Predio - Derecho.Tipo Derecho = “Ocupacion” con Datos Predio.Estado = Activo y Datos Predio.Etapa = "CONTROL_CALIDAD_GENERAL" o "CONTROL_CALIDAD_GRUPO"</t>
  </si>
  <si>
    <t xml:space="preserve">2.12 </t>
  </si>
  <si>
    <t>Todos los registros de Datos Predios con longitud de Datos Predio.Matricula &gt; 7 que en Datos Predio.Estado = Activo y Datos Predio.Etapa = "CONTROL_CALIDAD_GENERAL" o "CONTROL_CALIDAD_GRUPO"</t>
  </si>
  <si>
    <t>Registros de Datos Predio.Tiene FMI = Si con Datos Predio.Estado = Activo y Datos Predio.Etapa = "CONTROL_CALIDAD_GENERAL" o "CONTROL_CALIDAD_GRUPO"</t>
  </si>
  <si>
    <t>Registros de Datos Propietarios donde Datos Propietarios.Tipo Persona = “JURIDICA” con Datos Predio.Estado = Activo y Datos Predio.Etapa = "CONTROL_CALIDAD_GENERAL" o "CONTROL_CALIDAD_GRUPO"</t>
  </si>
  <si>
    <t>2.20 , 2.25, 2.27</t>
  </si>
  <si>
    <t>Registros de Datos Propietarios donde Datos Propietarios.Tipo Persona = “NATURAL” con Datos Predio.Estado = Activo y Datos Predio.Etapa = "CONTROL_CALIDAD_GENERAL" o "CONTROL_CALIDAD_GRUPO"</t>
  </si>
  <si>
    <t>2.21 , 2.24 , 2.26, 2.29</t>
  </si>
  <si>
    <t>Registros de Datos Propietarios donde  Datos Propietarios. Tipo documento = “CC” ó “CE” ó "P" ó “TI” ó “RC” con Datos Predio.Estado = Activo y Datos Predio.Etapa = "CONTROL_CALIDAD_GENERAL" o "CONTROL_CALIDAD_GRUPO"</t>
  </si>
  <si>
    <t>2.22</t>
  </si>
  <si>
    <t>Registros de Datos Propietarios donde  Propietarios. Tipo documento = “NIT” con Datos Predio.Estado = Activo y Datos Predio.Etapa = "CONTROL_CALIDAD_GENERAL" o "CONTROL_CALIDAD_GRUPO"</t>
  </si>
  <si>
    <t>2.23</t>
  </si>
  <si>
    <t>Todos los registros de Datos Propietarios con Datos Predio.Estado = Activo y Datos Predio.Etapa = "CONTROL_CALIDAD_GENERAL" o "CONTROL_CALIDAD_GRUPO"</t>
  </si>
  <si>
    <t>2,28 , 2,32, 2,33, 2.37, 2,39, 2,40</t>
  </si>
  <si>
    <t>Registros de Datos Propietarios donde Datos Propietario.Grupo Interesado = "Grupo_Mixto" con Datos Predio.Estado = Activo y Datos Predio.Etapa = "CONTROL_CALIDAD_GENERAL" o "CONTROL_CALIDAD_GRUPO"</t>
  </si>
  <si>
    <t>2.30</t>
  </si>
  <si>
    <t>Registros de Justificacion donde Justificacion.Tipo Documento = "Escritura_Publica",  "Sentencia_Judicial", "Acto_Administrativo" con Datos Predio.Estado = Activo y Datos Predio.Etapa = "CONTROL_CALIDAD_GENERAL" o "CONTROL_CALIDAD_GRUPO"</t>
  </si>
  <si>
    <t>Todos los registros de Justificacion con Datos Predio.Estado = Activo y Datos Predio.Etapa = "CONTROL_CALIDAD_GENERAL" o "CONTROL_CALIDAD_GRUPO"</t>
  </si>
  <si>
    <t>Registros de Justificacion donde Justificacion.Tipo Documento = "Escritura_Publica",  "Sentencia_Judicial" con Datos Predio.Estado = Activo y Datos Predio.Etapa = "CONTROL_CALIDAD_GENERAL" o "CONTROL_CALIDAD_GRUPO"</t>
  </si>
  <si>
    <t>Registros de Datos Predio con Datos Predio. Condicion Predio Tipo" = 'Informal' con Datos Predio.Estado = Activo y Datos Predio.Etapa = "CONTROL_CALIDAD_GENERAL" o "CONTROL_CALIDAD_GRUPO"</t>
  </si>
  <si>
    <t>Registros de Datos Predio con Datos Predio. Condicion Predio Tipo" = 'PH.Unidad' con Datos Predio.Estado = Activo y Datos Predio.Etapa = "CONTROL_CALIDAD_GENERAL" o "CONTROL_CALIDAD_GRUPO"</t>
  </si>
  <si>
    <t>Datos Predio.Condicion Predio Tipo= “PH” ó “Condominio”, y Unidad de Construccion.Tipo Calificacion “Residencial”, “Comercial”, “Institucional”ó “Industrial” con Datos Predio.Estado = Activo y Datos Predio.Etapa = "CONTROL_CALIDAD_GENERAL" o "CONTROL_CALIDAD_GRUPO"</t>
  </si>
  <si>
    <t>Datos Predio.Condicion Predio Tipo &lt;&gt; “PH” ó “Condominio”, y Unidad de Construccion.Tipo Calificacion “Residencial”, “Comercial”, “Institucional”ó “Industrial” con Datos Predio.Estado = Activo y Datos Predio.Etapa = "CONTROL_CALIDAD_GENERAL" o "CONTROL_CALIDAD_GRUPO"</t>
  </si>
  <si>
    <t>Registros en las capas geográficas U_TERRENO_CTM12, U_TERRENO_INFORMAL, R_TERRENO_CTM12, R_TERRENO_INFORMAL con Datos Predio.Estado = Activo y Datos Predio.Etapa = "CONTROL_CALIDAD_GENERAL" o "CONTROL_CALIDAD_GRUPO"</t>
  </si>
  <si>
    <t>3,6, 3,8</t>
  </si>
  <si>
    <t>Registros en las capas geográficas  U_TERRENO_CTM12, U_TERRENO_INFORMAL, R_TERRENO_CTM12, R_TERRENO_INFORMAL mas los codigos de U_UNIDAD_CTM12, U_UNIDAD_INFORMAL, R_UNIDAD_CTM12,  R_UNIDAD_INFORMAL que en su digito 22 sea = '9' y sus digitos 27-30 &lt;&gt; '0000' con Datos Predio.Estado = Activo y Datos Predio.Etapa = "CONTROL_CALIDAD_GENERAL" o "CONTROL_CALIDAD_GRUPO"</t>
  </si>
  <si>
    <t>Registros en las capas geográficas  U_UNIDAD_CTM12, U_UNIDAD_INFORMAL, R_UNIDAD_CTM12,  R_UNIDAD_INFORMAL con Datos Predio.Estado = Activo y Datos Predio.Etapa = "CONTROL_CALIDAD_GENERAL" o "CONTROL_CALIDAD_GRUPO"</t>
  </si>
  <si>
    <t>3,9, 3.17, 3,33, 3,35, 3,36</t>
  </si>
  <si>
    <t>Registros de Datos Predio donde Datos Predio.destino = A con Datos Predio.Estado = Activo y Datos Predio.Etapa = "CONTROL_CALIDAD_GENERAL" o "CONTROL_CALIDAD_GRUPO"</t>
  </si>
  <si>
    <t>3.20</t>
  </si>
  <si>
    <t>Registros de Datos Predio donde Datos Predio.destino = C con Datos Predio.Estado = Activo y Datos Predio.Etapa = "CONTROL_CALIDAD_GENERAL" o "CONTROL_CALIDAD_GRUPO"</t>
  </si>
  <si>
    <t>Registros de Datos Predio donde Datos Predio.destino = B con Datos Predio.Estado = Activo y Datos Predio.Etapa = "CONTROL_CALIDAD_GENERAL" o "CONTROL_CALIDAD_GRUPO"</t>
  </si>
  <si>
    <t>Todos los registros de la Unidad  de Construccion con Datos Predio.Estado = Activo y Datos Predio.Etapa = "CONTROL_CALIDAD_GENERAL" o "CONTROL_CALIDAD_GRUPO"</t>
  </si>
  <si>
    <t>3.25, 3.30</t>
  </si>
  <si>
    <t>Todos los registros de la Unidad  de Construccion mas todos los registros de las capas geográficas U_UNIDAD_CTM12, U_UNIDAD_INFORMALR_UNIDAD_CTM12, y R_UNIDAD_INFORMAL con Datos Predio.Estado = Activo y Datos Predio.Etapa = "CONTROL_CALIDAD_GENERAL" o "CONTROL_CALIDAD_GRUPO"</t>
  </si>
  <si>
    <t>Registros de Unidad de Construccion.TipoConstruccion= "CONVENCIONAL" con Datos Predio.Estado = Activo y Datos Predio.Etapa = "CONTROL_CALIDAD_GENERAL" o "CONTROL_CALIDAD_GRUPO"</t>
  </si>
  <si>
    <t>Registros de Unidad de Construccion.TipoConstruccion= "NO CONVENCIONAL" con Datos Predio.Estado = Activo y Datos Predio.Etapa = "CONTROL_CALIDAD_GENERAL" o "CONTROL_CALIDAD_GRUPO"</t>
  </si>
  <si>
    <r>
      <t xml:space="preserve">CONSISTENCIA LOGICA - BASE CATASTRAL
</t>
    </r>
    <r>
      <rPr>
        <sz val="11"/>
        <rFont val="Calibri"/>
        <family val="2"/>
        <scheme val="minor"/>
      </rPr>
      <t>DIRECCIÓN DE GESTIÓN CATASTRAL</t>
    </r>
  </si>
  <si>
    <t>DEPARTAMENTO:</t>
  </si>
  <si>
    <t>NOMBRE CONTROL DE CALIDAD QUE ELABORÓ:</t>
  </si>
  <si>
    <t>Firma:</t>
  </si>
  <si>
    <t>MUNICIPIO:</t>
  </si>
  <si>
    <t>NOMBRE CONTROL DE CALIDAD QUE REVISÓ:</t>
  </si>
  <si>
    <t>FECHA DE VALIDACION:</t>
  </si>
  <si>
    <t>AAAA/MM/DD</t>
  </si>
  <si>
    <t>ID</t>
  </si>
  <si>
    <t>ELEMENTO EVALUADO</t>
  </si>
  <si>
    <t>Situaciones encontradas</t>
  </si>
  <si>
    <t>Observaciones</t>
  </si>
  <si>
    <t>Ningun campo de tipo "String" debe contener caracteres especiales</t>
  </si>
  <si>
    <t>Ningun campo de la base de datos puede contener "pipes" (|)</t>
  </si>
  <si>
    <t>TOTAL</t>
  </si>
  <si>
    <t>ELEMENTO
EVALUADO</t>
  </si>
  <si>
    <t>Cantidad de Items</t>
  </si>
  <si>
    <t>Cantidad 
Excepciones</t>
  </si>
  <si>
    <t>Cantidad
Errores</t>
  </si>
  <si>
    <t>% Calidad Item</t>
  </si>
  <si>
    <t>Los campos 22 a 30 del número predial deben corresponder con la condición de propiedad asignada.
No deben existir predios con numeros prediales repetidos</t>
  </si>
  <si>
    <t>Los campos 22 a 30 del número predial para predios con condición de propiedad PH matriz se estandarizan como "900000000"</t>
  </si>
  <si>
    <t>El campo 22 del número predial para predios con condición de propiedad PH Unidad predial se estandariza como "9", los campo 23 a 24 no puede ser "00", los campo 25 a 26 no puede ser "00" y los campos 27 a 30 no pueden ser "0000"</t>
  </si>
  <si>
    <t>Los campos 22 a 30 del número predial para predios con condición de propiedad Condominio matriz se estandarizan como "800000000"</t>
  </si>
  <si>
    <t>El campos 22 al 26 del número predial para predios con condición de propiedad  Condominio.Unidad_predial se estandariza como "80000" y los campos del 27 al 30 deben ser diferente a "0000"</t>
  </si>
  <si>
    <t>El campo 22 del número predial debe ser diferente a "1", "5" y "6".</t>
  </si>
  <si>
    <t>Los campos 1 y 2 de número predial debe corresponder al valor diligenciado en Departamento</t>
  </si>
  <si>
    <t>1.10</t>
  </si>
  <si>
    <t>Los campos 3 a 5 de número predial debe corresponder al valor diligenciado en Municipio</t>
  </si>
  <si>
    <t>Si en el dato Tiene FMI y se ha marcado Si (Verdadero) debe tener registrado número de oficina de registro (circulo registral) y folio matricula inmobiliaria
Si en el dato no Tiene FMI y se ha marcado NO (false) no debe tener registrado número de oficina de registro (circulo registral) y folio matricula inmobiliaria</t>
  </si>
  <si>
    <t>El valor de Matricula_inmobiliaria no puede estar relacionado a más de un numero predial (FMI duplicados, pueden existir excepciones)</t>
  </si>
  <si>
    <t>El valor registrado en Matricula_inmobiliaria debe ser lógico (codificación completa) y no contener ningún carácter alfabético</t>
  </si>
  <si>
    <t>El Codigo_ORIP asignado a cada una de las Matricula_inmobiliaria debe estar asociado al dato del círculo registral</t>
  </si>
  <si>
    <t xml:space="preserve">Para predios con destinación económica: Lote urbanizado no construido, no se deben relacionar ni ubicar espacialmente construcciones </t>
  </si>
  <si>
    <t>Para predios con destinación económica: Comercial, educativo, habitacional, industrial, institucional y salubridad debe relacionar espacialmente al menos una construcción</t>
  </si>
  <si>
    <t xml:space="preserve">Los predios con destinación económica "Acuicola, Agricola, Agroindustrial, Agropecuario, Agroforestal, Forestal, Infraestructura asociada producción agropecuaria, Infraestructura de saneamiento básico, Minería Hidrocarburos, Pecuario deben estar relacionados a numeros prediales rurales; Por otra parte, los predios con destinación económica "Lote urbanizable no urbanizado y Lote urbanizado no construido" deben estar relacionados a numeros prediales urbanos. </t>
  </si>
  <si>
    <t>Si el predio  tiene el campo "Tiene_FMI" diligenciado como "No" entonces el campo "Area_Registral" debe ser 0</t>
  </si>
  <si>
    <t>Si el campo "tiene_area_registral" esta diligenciado como "Si" , entonces el campo "area registral" no debe estar en 0. Si el campo "tiene_area_registral" esta diligenciado como "No" , entonces el campo "area registral" debe estar en 0.</t>
  </si>
  <si>
    <t>Los predios asociados a condiciones de propiedad NPH ó PH.matriz o Condominio.Matriz o Condominio.Unidad_Predial o Vía o Bien_Uso_Publico o Parque Cementerio, deben estar representados en la capa de terreno excepto los que tienen asociado en novedades del levantamiento Cancelación. De igual forma todos los terrenos deben tener asociados a un registro de Datos_Predio condiciones de propiedad NPH o PH.matriz o Condominio.Matriz o Condominio.Unidad_Predial o Vía o Bien_Uso_Publico sin novedad de Cancelación.</t>
  </si>
  <si>
    <t>Si existe registro en Datos_Contacto, no puede relacionar persona jurídica, es decir que tipo documento no puede ser NIT</t>
  </si>
  <si>
    <t>Si existe registro en Datos_Contacto, el número de documento de quien atendió debe contener solamente caracteres numéricos y ser diferente de "0"</t>
  </si>
  <si>
    <t>Si existe información en Datos_Contacto, el campo de primer nombre quien atendió y primer apellido quien atendió deben estar diligenciados</t>
  </si>
  <si>
    <t>Si existe información en Datos_Contacto y existe dato de número de celular registrado, debe tener 10 dígitos y sus caracteres deben ser numéricos</t>
  </si>
  <si>
    <t>Si existe información en Datos_Contacto y existe dato de correo electrónico, debe tener una estructura lógica (nombre del usuario@dominio)</t>
  </si>
  <si>
    <t>Si existe información en Datos_Contacto y el campo autoriza notificaciones es verdadero, entonces el campo celular y/o correo electrónico debe estar diligenciado</t>
  </si>
  <si>
    <t>Todo registro en la tabla Datos_Contacto debe tener diligenciado el campo domicilio_notificaciones</t>
  </si>
  <si>
    <t>El campo Direccion de la tabla Datos_Contacto debe contener al menos 7 caracteres</t>
  </si>
  <si>
    <t>Para predios en condicion 9 o 8, en el campo Direccion deben tener diligenciado al menos una de las siguiente siglas AP, BQ, BD, CS, ED, ET, GA, IN, L, LO, MZ, OF, PQ, PN, TO, UN, UR</t>
  </si>
  <si>
    <t>PROMEDIO</t>
  </si>
  <si>
    <t xml:space="preserve">Calcular </t>
  </si>
  <si>
    <t>2.1</t>
  </si>
  <si>
    <t>Que la matrícula Inmobiliaria relacionada efectivamente corresponda un folio de matricula (Longitud entre 1 y 8 caracteres).</t>
  </si>
  <si>
    <t>2.4</t>
  </si>
  <si>
    <t>La fecha de inicio de tenencia relacionada en el derecho debe ser mayor a cero (0) y menor a la fecha de la visita al predio o a la fecha de hoy.</t>
  </si>
  <si>
    <t>2.5</t>
  </si>
  <si>
    <t>Un predio formal debe tener asociado un solo Derecho de tipo "Dominio"</t>
  </si>
  <si>
    <t>2.6</t>
  </si>
  <si>
    <t>Un predio formal con Derecho de tipo "Dominio" debe tener Matricula inmobiliaria</t>
  </si>
  <si>
    <t>2.7</t>
  </si>
  <si>
    <t>Los predios asociados a tipos de derecho de “posesión” deben ser tipo de predios “Privados”</t>
  </si>
  <si>
    <t>2.8</t>
  </si>
  <si>
    <t>Los predios con tipo de predio: Privado no deben estar asociados a derechos de “ocupación”</t>
  </si>
  <si>
    <t>2.9</t>
  </si>
  <si>
    <t>Para los predios asociados a tipo de predio público, el tipo de derecho no puede ser posesión</t>
  </si>
  <si>
    <t>2.10</t>
  </si>
  <si>
    <t>En los predios baldíos y asociados a tipo de derecho dominio, el interesado relacionado debe corresponder a la Nación o Municipio o Agencia Nacional de Tierras</t>
  </si>
  <si>
    <t>Si el predio es catalogado como territorio colectivo, el interesado debe corresponder a algún grupo étnico</t>
  </si>
  <si>
    <t>2.12</t>
  </si>
  <si>
    <t>Para los predios baldíos que el derecho tipo asociado es ocupación, el interesado relacionado no debe ser La Nación o Municipio o Agencia Nacional de Tierras</t>
  </si>
  <si>
    <t>2.13</t>
  </si>
  <si>
    <t>Para los predios asociados a públicos (fiscales, patrimoniales o de uso público) que están relacionados con tipo de derecho dominio, el interesado relacionado debe ser una persona jurídica.</t>
  </si>
  <si>
    <t>Para los predios con folio de matrícula inmobiliaria, la fecha de inicio de tenencia asociada al derecho debe ser mayor o igual a la fecha del título (Documento fuente)</t>
  </si>
  <si>
    <t>Si el predio tiene un valor de folio en sistema antiguo (Mayor a 7 caracteres), el dato de Tiene FMI es falso</t>
  </si>
  <si>
    <t>Si el predio tiene folio de matrícula en la tabla Datos_Predio, entonces debe tener registrada una fecha de documento fuente, tipo de fuente administrativa, numero de fuente administrativa y ente emisor. El valor registrado en fecha de documento fuente no puede ser posterior a la fecha de levantamiento</t>
  </si>
  <si>
    <t>2.20</t>
  </si>
  <si>
    <t xml:space="preserve">Los interesados de tipo “Persona_Jurídica” deben asociar solamente en tipo de documento NIT o número secuencial (este número solamente se utiliza en el caso de los interesados que no fue posible encontrar su documento de identidad). </t>
  </si>
  <si>
    <t>Los interesados de tipo “Persona_Natural” deben asociar solamente en tipo de documento “Cedula de Ciudadanía” o "Pasaporte" o “Cédula de Extranjería” o “Tarjeta de identidad” o “Registro Civil” o número secuencial (este número solamente se utilizará en el caso de los interesados que no fue posible encontrar su documento de identidad)</t>
  </si>
  <si>
    <t>Si el tipo de documento asociado al interesado es Cédula de ciudadanía” o “Cedula de Extranjería” o “Tarjeta de identidad” o “Registro Civil”, el número de documento de identidad debe ser diferente de “cero” o vacío. La opción de secuencial se usa en el caso de interesados en los cuales no fue posible encontrar documento de identificación, al no existir otra opción</t>
  </si>
  <si>
    <t>Si el tipo de documento del interesado es “NIT”, entonces Interesado.documento_identidad &gt; 0 sin letras ni caracteres especiales exceptuando guion "-", no debe ser secuenciales. Antes del guion solo numérico y después del guion únicamente un entero, entre 0 y 9.</t>
  </si>
  <si>
    <t>El atributo de primer nombre, segundo nombre, primer apellido y segundo apellido en interesado solo será usado para aquellos que correspondan a “Personas naturales” y no debe ser numérico ni contener caracteres especiales</t>
  </si>
  <si>
    <t>El atributo de primer nombre, segundo nombre, primer apellido y segundo apellido no será usado para aquellos que correspondan a “Personas jurídicas”.</t>
  </si>
  <si>
    <t>En las bases catastrales vigentes se pueden encontrar palabras asociadas a “SUC” (Sucesiones ilíquidas) que no deben asociarse en los campos de nombre para personas naturales ni asociar números en sus campos</t>
  </si>
  <si>
    <t>Para los interesados asociados a personas jurídicas, solamente se debe diligenciar el campo de razón social</t>
  </si>
  <si>
    <t>El atributo de Sexo en interesado solo será usado para aquellos que correspondan a Personas naturales.</t>
  </si>
  <si>
    <t>Los interesados relacionados a Personas Naturales, en los campos respectivos para identificar su nombre, no se debe asociar personerías Jurídicas</t>
  </si>
  <si>
    <t>Si la agrupación de interesados de un predio está conformada por personas naturales y jurídicas, el tipo de agrupación debe ser Grupo_Mixto</t>
  </si>
  <si>
    <t>Si la agrupación de interesados de un predio está conformada por personas naturales, el tipo de agrupación debe ser Grupo_Civil</t>
  </si>
  <si>
    <t>Si la agrupación de interesados de un predio está conformada por personas jurídicas el tipo de agrupación debe ser Grupo_Empresarial</t>
  </si>
  <si>
    <t xml:space="preserve">Si el tipo de Fuente Administrativa es Escritura Publica o Sentencia Judicial o Acto Administrativo, no puede estar asociado a un Documento Privado </t>
  </si>
  <si>
    <t>El registro de un dato en ente emisor, numero de fuente y fecha de documento debe ser congruente con el tipo de fuente administrativa asignado.</t>
  </si>
  <si>
    <t>El ente emisor debe corresponder al  tipo de fuente administrativa diligenciado.</t>
  </si>
  <si>
    <t xml:space="preserve">En caso de contar con el contacto de interesado, debe tener registrado departamento y municipio </t>
  </si>
  <si>
    <t>Todo predio debe tener asociado un interesado o agrupación de interesados.</t>
  </si>
  <si>
    <t>Para los interesados que sus nombres y apellidos o razón social son iguales, y presentan diferente número de documento, debe verificarse (Excepción Homónimos). (mismo nombre de propietario, diferente cedula)</t>
  </si>
  <si>
    <t>2.40</t>
  </si>
  <si>
    <t>Para los interesados con igual número de documento, la información relacionada en nombres y apellidos o razón social debe ser igual para todos los registros (misma cédula, diferente propietario) y no deben existir registros de interesados repetidos</t>
  </si>
  <si>
    <t>Los predios informales debe registrar el mismo derecho en los campos a diligenciar y no debe registrar 'Dominio'</t>
  </si>
  <si>
    <t>3.1</t>
  </si>
  <si>
    <t>Los predios asociados a condiciones de propiedad PH Unidad Predial deben tener asociada una construcción, exceptuando los parqueaderos o garajes descubiertos o unidades de PH no construidas.</t>
  </si>
  <si>
    <t>3.3</t>
  </si>
  <si>
    <t xml:space="preserve">Para las unidades asociadas a predios en PH y condominio, las unidades convencionales calificadas deben relacionar usos establecidos específicamente para PH. </t>
  </si>
  <si>
    <t>3.4</t>
  </si>
  <si>
    <t>Para las unidades asociadas a predios con condición de propiedad diferente a PH o condominio, las unidades convencionales calificadas deben relacionar usos diferentes a PH.</t>
  </si>
  <si>
    <t>No deben haber poligonos de terreno menores a 5 m²</t>
  </si>
  <si>
    <t>Cada polígono de terreno o de unidad de construccion en PH  debe estar asociado a un registro de Datos_Predio.</t>
  </si>
  <si>
    <t>Para el terreno, el dato area_terreno diligenciado y área calculada de la geometría del polígono debe ser igual.</t>
  </si>
  <si>
    <t>El identificador es la variable que unifica unidades de construcción con: usos de construcción, el tipo de dominio, tipo de construcción, tipo de unidad de construcción, tipo de planta, total habitaciones, total baños, total locales, total pisos de la unidad, año de construcción y calificación de iguales características. Además, debe existir una continuidad en la asignación alfabética del identificador, siempre empezando por la letra A a la Z y en caso de existir más unidades se reinicia en AA, AB y así sucesivamente.</t>
  </si>
  <si>
    <t xml:space="preserve">La planta de ubicación de la unidad de construcción no puede ser cero (0) ni negativa. </t>
  </si>
  <si>
    <t>Los predios con destinación económica  habitacional deben tener minimo una unidad de tipo residencial y esta(s) deben ser predominantes en área construidas respecto a las demás</t>
  </si>
  <si>
    <t>Los predios con destinación económica comercial  deben tener minimo una unidad de tipo comercial y esta(s) deben ser predominantes en área construidas respecto a las demás</t>
  </si>
  <si>
    <t>Los predios con destinación económica industrial deben tener minimo una unidad de tipo industrial y esta(s) deben ser predominantes en área construidas respecto a las demás</t>
  </si>
  <si>
    <t>La unidad de construcción debe tener asociado un uso</t>
  </si>
  <si>
    <t>3.30</t>
  </si>
  <si>
    <t>El año de construcción de la unidad de construcción debe estar diligenciado y debe ser menor o igual a la fecha de visita</t>
  </si>
  <si>
    <t>La sumatoria de las areas de los poligonos de unidad de construcción que compartan numero predial, tipo de construcción e identificador, debe ser igual al campo "construccion area" de la tabla Unidad de construcción</t>
  </si>
  <si>
    <t>En las construcciones, el campo "numero_pisos" no debe ser 0.</t>
  </si>
  <si>
    <t>4.1</t>
  </si>
  <si>
    <t>Si en la unidad de construcción, el tipo de construcción es convencional, entonces debe relacionar una calificación en la tabla tipología tipo o calificación convencional</t>
  </si>
  <si>
    <t>4.2</t>
  </si>
  <si>
    <t>Si en la unidad de construcción, el tipo de construcción es no convencional, entonces debe relacionar una calificación en la tabla de calificación no convencional y debe corresponder a los dominios de Anexo tipo para cada uso (anexos) correspondiente. En caso de que el anexo no tenga ningún tipo de anexo asociado, se debe reportar.</t>
  </si>
  <si>
    <t>Calcular</t>
  </si>
  <si>
    <t>Item</t>
  </si>
  <si>
    <t>Grupo(s)</t>
  </si>
  <si>
    <t>Cantidad Errores</t>
  </si>
  <si>
    <t>% Calidad Componente</t>
  </si>
  <si>
    <t>Estructura</t>
  </si>
  <si>
    <t>N/A</t>
  </si>
  <si>
    <t>Administrativo</t>
  </si>
  <si>
    <t>Jurídico</t>
  </si>
  <si>
    <t>Físico</t>
  </si>
  <si>
    <t>Económico</t>
  </si>
  <si>
    <t>Novedades</t>
  </si>
  <si>
    <t>Digitar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</si>
</sst>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sz val="11"/>
      <color theme="1"/>
      <name val="Calibri"/>
      <family val="2"/>
      <scheme val="minor"/>
    </font>
    <font>
      <sz val="10"/>
      <name val="Arial"/>
      <family val="2"/>
    </font>
    <font>
      <b/>
      <sz val="11"/>
      <color rgb="FF000000"/>
      <name val="Calibri"/>
      <family val="2"/>
      <scheme val="minor"/>
    </font>
    <font>
      <sz val="11"/>
      <color rgb="FF000000"/>
      <name val="Calibri"/>
      <family val="2"/>
      <scheme val="minor"/>
    </font>
    <font>
      <sz val="11"/>
      <name val="Calibri"/>
      <family val="2"/>
      <scheme val="minor"/>
    </font>
    <font>
      <sz val="8"/>
      <name val="Calibri"/>
      <family val="2"/>
      <scheme val="minor"/>
    </font>
    <font>
      <b/>
      <sz val="11"/>
      <name val="Calibri"/>
      <family val="2"/>
      <scheme val="minor"/>
    </font>
    <font>
      <b/>
      <sz val="11"/>
      <color theme="0"/>
      <name val="Calibri"/>
      <family val="2"/>
      <scheme val="minor"/>
    </font>
    <font>
      <b/>
      <sz val="11"/>
      <color theme="1"/>
      <name val="Calibri"/>
      <family val="2"/>
      <scheme val="minor"/>
    </font>
    <font>
      <b/>
      <sz val="9"/>
      <color indexed="81"/>
      <name val="Tahoma"/>
      <family val="2"/>
    </font>
    <font>
      <sz val="10"/>
      <name val="Calibri"/>
      <family val="2"/>
      <scheme val="minor"/>
    </font>
    <font>
      <sz val="10"/>
      <color rgb="FF000000"/>
      <name val="Calibri"/>
      <family val="2"/>
      <scheme val="minor"/>
    </font>
    <font>
      <b/>
      <sz val="10"/>
      <name val="Arial"/>
      <family val="2"/>
    </font>
    <font>
      <b/>
      <sz val="10"/>
      <color rgb="FF000000"/>
      <name val="Arial"/>
      <family val="2"/>
    </font>
    <font>
      <sz val="11"/>
      <color rgb="FF000000"/>
      <name val="Calibri"/>
      <family val="2"/>
    </font>
    <font>
      <sz val="11"/>
      <name val="Calibri"/>
      <family val="2"/>
    </font>
    <font>
      <b/>
      <sz val="11"/>
      <name val="Calibri"/>
      <family val="2"/>
    </font>
  </fonts>
  <fills count="6">
    <fill>
      <patternFill patternType="none"/>
    </fill>
    <fill>
      <patternFill patternType="gray125"/>
    </fill>
    <fill>
      <patternFill patternType="solid">
        <fgColor theme="8" tint="0.39997558519241921"/>
        <bgColor indexed="64"/>
      </patternFill>
    </fill>
    <fill>
      <patternFill patternType="solid">
        <fgColor theme="0" tint="-0.14999847407452621"/>
        <bgColor indexed="64"/>
      </patternFill>
    </fill>
    <fill>
      <patternFill patternType="solid">
        <fgColor rgb="FF9BC2E6"/>
        <bgColor rgb="FF000000"/>
      </patternFill>
    </fill>
    <fill>
      <patternFill patternType="solid">
        <fgColor rgb="FFD9D9D9"/>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 fillId="0" borderId="0"/>
  </cellStyleXfs>
  <cellXfs count="85">
    <xf numFmtId="0" fontId="0" fillId="0" borderId="0" xfId="0"/>
    <xf numFmtId="0" fontId="3" fillId="2" borderId="1" xfId="1" applyFont="1" applyFill="1" applyBorder="1" applyAlignment="1" applyProtection="1">
      <alignment vertical="center" wrapText="1"/>
      <protection locked="0"/>
    </xf>
    <xf numFmtId="0" fontId="7" fillId="2" borderId="1" xfId="1" applyFont="1" applyFill="1" applyBorder="1" applyAlignment="1" applyProtection="1">
      <alignment vertical="center" wrapText="1"/>
      <protection locked="0"/>
    </xf>
    <xf numFmtId="0" fontId="1" fillId="0" borderId="0" xfId="0" applyFont="1" applyProtection="1">
      <protection locked="0"/>
    </xf>
    <xf numFmtId="0" fontId="7" fillId="3" borderId="1" xfId="0" applyFont="1" applyFill="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164" fontId="7" fillId="2" borderId="1" xfId="0" applyNumberFormat="1" applyFont="1" applyFill="1" applyBorder="1" applyAlignment="1" applyProtection="1">
      <alignment horizontal="center" vertical="center"/>
      <protection locked="0"/>
    </xf>
    <xf numFmtId="164" fontId="1" fillId="0" borderId="0" xfId="0" applyNumberFormat="1" applyFont="1" applyProtection="1">
      <protection locked="0"/>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left" vertical="center" wrapText="1"/>
    </xf>
    <xf numFmtId="164" fontId="9" fillId="0" borderId="1" xfId="0" applyNumberFormat="1" applyFont="1" applyBorder="1" applyAlignment="1">
      <alignment horizontal="center" vertical="center"/>
    </xf>
    <xf numFmtId="0" fontId="1" fillId="0" borderId="1" xfId="2"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7" fillId="0" borderId="1" xfId="0" applyFont="1" applyBorder="1" applyAlignment="1" applyProtection="1">
      <alignment horizontal="center" vertical="top"/>
      <protection locked="0"/>
    </xf>
    <xf numFmtId="0" fontId="7" fillId="0" borderId="0" xfId="0" applyFont="1" applyAlignment="1" applyProtection="1">
      <alignment horizontal="center" vertical="top"/>
      <protection locked="0"/>
    </xf>
    <xf numFmtId="49" fontId="0" fillId="0" borderId="0" xfId="0" applyNumberFormat="1" applyProtection="1">
      <protection locked="0"/>
    </xf>
    <xf numFmtId="0" fontId="0" fillId="0" borderId="0" xfId="0" applyProtection="1">
      <protection locked="0"/>
    </xf>
    <xf numFmtId="0" fontId="7" fillId="0" borderId="1" xfId="0" applyFont="1" applyBorder="1" applyAlignment="1">
      <alignment horizontal="center" vertical="top"/>
    </xf>
    <xf numFmtId="0" fontId="12" fillId="0" borderId="1" xfId="0" applyFont="1" applyBorder="1" applyAlignment="1">
      <alignment horizontal="center" vertical="center"/>
    </xf>
    <xf numFmtId="0" fontId="12" fillId="0" borderId="1" xfId="0" applyFont="1" applyBorder="1"/>
    <xf numFmtId="0" fontId="12" fillId="0" borderId="1" xfId="0" applyFont="1" applyBorder="1" applyAlignment="1">
      <alignment vertical="center"/>
    </xf>
    <xf numFmtId="0" fontId="4" fillId="0" borderId="1" xfId="0" applyFont="1" applyBorder="1" applyAlignment="1">
      <alignment horizontal="center" vertical="center" wrapText="1"/>
    </xf>
    <xf numFmtId="0" fontId="15" fillId="0" borderId="1" xfId="0" applyFont="1"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1" fillId="0" borderId="1" xfId="2" applyBorder="1" applyAlignment="1">
      <alignment horizontal="center" vertical="center" wrapText="1"/>
    </xf>
    <xf numFmtId="0" fontId="15" fillId="0" borderId="1" xfId="0" applyFont="1" applyBorder="1" applyAlignment="1">
      <alignment horizontal="center" vertical="center" wrapText="1"/>
    </xf>
    <xf numFmtId="0" fontId="0" fillId="0" borderId="1" xfId="2"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wrapText="1" indent="1"/>
    </xf>
    <xf numFmtId="0" fontId="3" fillId="0" borderId="5" xfId="0" applyFont="1" applyBorder="1" applyAlignment="1">
      <alignment horizontal="center" vertical="center"/>
    </xf>
    <xf numFmtId="0" fontId="0" fillId="0" borderId="5" xfId="0" applyBorder="1" applyAlignment="1">
      <alignment vertical="center" wrapText="1"/>
    </xf>
    <xf numFmtId="0" fontId="0" fillId="0" borderId="1" xfId="0"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left" wrapText="1"/>
    </xf>
    <xf numFmtId="0" fontId="15" fillId="0" borderId="1" xfId="0" applyFont="1" applyBorder="1" applyAlignment="1">
      <alignment wrapText="1"/>
    </xf>
    <xf numFmtId="0" fontId="15" fillId="0" borderId="5" xfId="0" applyFont="1" applyBorder="1" applyAlignment="1">
      <alignment horizontal="left" vertical="center" wrapText="1"/>
    </xf>
    <xf numFmtId="0" fontId="0" fillId="0" borderId="1" xfId="2" applyFont="1" applyBorder="1" applyAlignment="1">
      <alignment horizontal="left" vertical="center" wrapText="1"/>
    </xf>
    <xf numFmtId="0" fontId="0" fillId="0" borderId="1" xfId="0" applyBorder="1" applyAlignment="1" applyProtection="1">
      <alignment horizontal="center"/>
      <protection locked="0"/>
    </xf>
    <xf numFmtId="0" fontId="0" fillId="0" borderId="0" xfId="0" applyAlignment="1" applyProtection="1">
      <alignment horizontal="center"/>
      <protection locked="0"/>
    </xf>
    <xf numFmtId="0" fontId="17" fillId="0" borderId="1" xfId="0" applyFont="1" applyBorder="1"/>
    <xf numFmtId="0" fontId="15" fillId="0" borderId="1" xfId="0" applyFont="1" applyBorder="1"/>
    <xf numFmtId="0" fontId="4" fillId="0" borderId="1" xfId="0" applyFont="1" applyBorder="1" applyAlignment="1">
      <alignment horizontal="center"/>
    </xf>
    <xf numFmtId="0" fontId="4"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protection locked="0"/>
    </xf>
    <xf numFmtId="0" fontId="7" fillId="2" borderId="1" xfId="0" applyFont="1" applyFill="1" applyBorder="1" applyAlignment="1" applyProtection="1">
      <alignment horizontal="center" vertical="center" wrapText="1"/>
      <protection locked="0"/>
    </xf>
    <xf numFmtId="0" fontId="7" fillId="2" borderId="1" xfId="0" applyFont="1" applyFill="1" applyBorder="1" applyAlignment="1">
      <alignment horizontal="center" vertical="center" wrapText="1"/>
    </xf>
    <xf numFmtId="164" fontId="8" fillId="2" borderId="1" xfId="0" applyNumberFormat="1"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wrapText="1"/>
      <protection locked="0"/>
    </xf>
    <xf numFmtId="0" fontId="7" fillId="3" borderId="1" xfId="0" applyFont="1" applyFill="1" applyBorder="1" applyAlignment="1" applyProtection="1">
      <alignment horizontal="center" vertical="center"/>
      <protection locked="0"/>
    </xf>
    <xf numFmtId="0" fontId="1" fillId="0" borderId="1" xfId="0" applyFont="1" applyBorder="1" applyAlignment="1" applyProtection="1">
      <alignment horizontal="center" vertical="center" wrapText="1"/>
      <protection locked="0"/>
    </xf>
    <xf numFmtId="0" fontId="7" fillId="2" borderId="1" xfId="1"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protection locked="0"/>
    </xf>
    <xf numFmtId="0" fontId="7" fillId="2" borderId="1" xfId="1" applyFont="1" applyFill="1" applyBorder="1" applyAlignment="1" applyProtection="1">
      <alignment horizontal="left" vertical="center" wrapText="1"/>
      <protection locked="0"/>
    </xf>
    <xf numFmtId="14" fontId="7" fillId="2" borderId="1" xfId="1" applyNumberFormat="1"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protection locked="0"/>
    </xf>
    <xf numFmtId="0" fontId="1" fillId="0" borderId="1" xfId="0" applyFont="1" applyBorder="1" applyAlignment="1" applyProtection="1">
      <alignment horizontal="center" wrapText="1"/>
      <protection locked="0"/>
    </xf>
    <xf numFmtId="164" fontId="7" fillId="2" borderId="1" xfId="0" applyNumberFormat="1" applyFont="1" applyFill="1" applyBorder="1" applyAlignment="1" applyProtection="1">
      <alignment horizontal="center" vertical="center"/>
      <protection locked="0"/>
    </xf>
    <xf numFmtId="3" fontId="7" fillId="2" borderId="1" xfId="0" applyNumberFormat="1" applyFont="1" applyFill="1" applyBorder="1" applyAlignment="1" applyProtection="1">
      <alignment horizontal="center" vertical="center" wrapText="1"/>
      <protection locked="0"/>
    </xf>
    <xf numFmtId="0" fontId="12" fillId="0" borderId="2" xfId="0" applyFont="1" applyBorder="1" applyAlignment="1" applyProtection="1">
      <alignment horizontal="center" vertical="center"/>
      <protection locked="0"/>
    </xf>
    <xf numFmtId="0" fontId="12" fillId="0" borderId="3"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0" fontId="14" fillId="4" borderId="2"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0" fontId="11" fillId="0" borderId="1" xfId="0" applyNumberFormat="1" applyFont="1" applyBorder="1" applyAlignment="1">
      <alignment horizontal="center" vertical="center" wrapText="1"/>
    </xf>
    <xf numFmtId="164" fontId="11" fillId="0" borderId="2" xfId="0" applyNumberFormat="1" applyFont="1" applyBorder="1" applyAlignment="1" applyProtection="1">
      <alignment horizontal="center" vertical="center" wrapText="1"/>
      <protection locked="0"/>
    </xf>
    <xf numFmtId="164" fontId="11" fillId="0" borderId="4" xfId="0" applyNumberFormat="1" applyFont="1" applyBorder="1" applyAlignment="1" applyProtection="1">
      <alignment horizontal="center" vertical="center" wrapText="1"/>
      <protection locked="0"/>
    </xf>
    <xf numFmtId="0" fontId="11" fillId="0" borderId="2"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4" fillId="4" borderId="1" xfId="0" applyFont="1" applyFill="1" applyBorder="1" applyAlignment="1">
      <alignment horizontal="center" vertical="center" wrapText="1"/>
    </xf>
    <xf numFmtId="0" fontId="13" fillId="5" borderId="1" xfId="0" applyFont="1" applyFill="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3" fillId="5" borderId="1" xfId="0" applyFont="1" applyFill="1" applyBorder="1" applyAlignment="1">
      <alignment horizontal="center" vertical="center" wrapText="1"/>
    </xf>
    <xf numFmtId="0" fontId="14" fillId="4" borderId="2" xfId="0" applyFont="1" applyFill="1" applyBorder="1" applyAlignment="1" applyProtection="1">
      <alignment horizontal="center" vertical="center" wrapText="1"/>
      <protection locked="0"/>
    </xf>
    <xf numFmtId="0" fontId="14" fillId="4" borderId="3" xfId="0" applyFont="1" applyFill="1" applyBorder="1" applyAlignment="1" applyProtection="1">
      <alignment horizontal="center" vertical="center" wrapText="1"/>
      <protection locked="0"/>
    </xf>
    <xf numFmtId="0" fontId="14" fillId="4" borderId="4" xfId="0" applyFont="1" applyFill="1" applyBorder="1" applyAlignment="1" applyProtection="1">
      <alignment horizontal="center" vertical="center" wrapText="1"/>
      <protection locked="0"/>
    </xf>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102393</xdr:colOff>
      <xdr:row>2</xdr:row>
      <xdr:rowOff>176212</xdr:rowOff>
    </xdr:from>
    <xdr:to>
      <xdr:col>0</xdr:col>
      <xdr:colOff>995197</xdr:colOff>
      <xdr:row>3</xdr:row>
      <xdr:rowOff>250031</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2393" y="557212"/>
          <a:ext cx="892804" cy="4929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71438</xdr:colOff>
      <xdr:row>2</xdr:row>
      <xdr:rowOff>252411</xdr:rowOff>
    </xdr:from>
    <xdr:to>
      <xdr:col>0</xdr:col>
      <xdr:colOff>969169</xdr:colOff>
      <xdr:row>3</xdr:row>
      <xdr:rowOff>328937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71438" y="633411"/>
          <a:ext cx="897731" cy="495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2</xdr:row>
      <xdr:rowOff>219075</xdr:rowOff>
    </xdr:from>
    <xdr:to>
      <xdr:col>0</xdr:col>
      <xdr:colOff>983456</xdr:colOff>
      <xdr:row>3</xdr:row>
      <xdr:rowOff>333701</xdr:rowOff>
    </xdr:to>
    <xdr:pic>
      <xdr:nvPicPr>
        <xdr:cNvPr id="6" name="Imagen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85725" y="600075"/>
          <a:ext cx="897731" cy="4956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2</xdr:row>
      <xdr:rowOff>276225</xdr:rowOff>
    </xdr:from>
    <xdr:to>
      <xdr:col>0</xdr:col>
      <xdr:colOff>983456</xdr:colOff>
      <xdr:row>3</xdr:row>
      <xdr:rowOff>362276</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85725" y="657225"/>
          <a:ext cx="897731" cy="4956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2</xdr:row>
      <xdr:rowOff>276225</xdr:rowOff>
    </xdr:from>
    <xdr:to>
      <xdr:col>0</xdr:col>
      <xdr:colOff>1012031</xdr:colOff>
      <xdr:row>3</xdr:row>
      <xdr:rowOff>343226</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114300" y="657225"/>
          <a:ext cx="897731" cy="4956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102393</xdr:colOff>
      <xdr:row>2</xdr:row>
      <xdr:rowOff>176212</xdr:rowOff>
    </xdr:from>
    <xdr:to>
      <xdr:col>0</xdr:col>
      <xdr:colOff>995197</xdr:colOff>
      <xdr:row>3</xdr:row>
      <xdr:rowOff>250031</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02393" y="557212"/>
          <a:ext cx="892804" cy="4905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ndrea.merchan\Downloads\ConsistenciLogica_modelointer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1. Administrativo"/>
      <sheetName val="2. Jurídico"/>
      <sheetName val="4. Economico"/>
      <sheetName val="5. Novedades"/>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view="pageBreakPreview" zoomScale="55" zoomScaleNormal="100" zoomScaleSheetLayoutView="55" workbookViewId="0">
      <selection activeCell="B53" sqref="B53"/>
    </sheetView>
  </sheetViews>
  <sheetFormatPr defaultColWidth="9.140625" defaultRowHeight="15"/>
  <cols>
    <col min="1" max="1" width="5.28515625" style="45" customWidth="1"/>
    <col min="2" max="2" width="138.42578125" bestFit="1" customWidth="1"/>
    <col min="3" max="3" width="8.5703125" style="20" bestFit="1" customWidth="1"/>
    <col min="4" max="4" width="29.140625" bestFit="1" customWidth="1"/>
    <col min="5" max="5" width="8.5703125" style="20" bestFit="1" customWidth="1"/>
    <col min="6" max="6" width="9.140625" style="19"/>
    <col min="7" max="16384" width="9.140625" style="20"/>
  </cols>
  <sheetData>
    <row r="1" spans="1:5">
      <c r="A1" s="17" t="s">
        <v>0</v>
      </c>
      <c r="B1" s="21" t="s">
        <v>1</v>
      </c>
      <c r="C1" s="46" t="s">
        <v>2</v>
      </c>
      <c r="D1" s="21" t="s">
        <v>3</v>
      </c>
      <c r="E1" s="18"/>
    </row>
    <row r="2" spans="1:5" ht="30">
      <c r="A2" s="44">
        <v>1</v>
      </c>
      <c r="B2" s="15" t="s">
        <v>4</v>
      </c>
      <c r="C2" s="47"/>
      <c r="D2" s="48">
        <v>1.1000000000000001</v>
      </c>
    </row>
    <row r="3" spans="1:5" ht="30">
      <c r="A3" s="44">
        <v>2</v>
      </c>
      <c r="B3" s="15" t="s">
        <v>5</v>
      </c>
      <c r="C3" s="47"/>
      <c r="D3" s="48">
        <v>1.4</v>
      </c>
    </row>
    <row r="4" spans="1:5" ht="30">
      <c r="A4" s="44">
        <v>3</v>
      </c>
      <c r="B4" s="15" t="s">
        <v>6</v>
      </c>
      <c r="C4" s="47"/>
      <c r="D4" s="48">
        <v>1.5</v>
      </c>
    </row>
    <row r="5" spans="1:5" ht="30">
      <c r="A5" s="44">
        <v>4</v>
      </c>
      <c r="B5" s="15" t="s">
        <v>7</v>
      </c>
      <c r="C5" s="47"/>
      <c r="D5" s="48">
        <v>1.6</v>
      </c>
    </row>
    <row r="6" spans="1:5" ht="30">
      <c r="A6" s="44">
        <v>5</v>
      </c>
      <c r="B6" s="15" t="s">
        <v>8</v>
      </c>
      <c r="C6" s="47"/>
      <c r="D6" s="48">
        <v>1.7</v>
      </c>
    </row>
    <row r="7" spans="1:5" ht="30">
      <c r="A7" s="44">
        <v>6</v>
      </c>
      <c r="B7" s="15" t="s">
        <v>9</v>
      </c>
      <c r="C7" s="47"/>
      <c r="D7" s="48">
        <v>1.8</v>
      </c>
    </row>
    <row r="8" spans="1:5" ht="30">
      <c r="A8" s="44">
        <v>7</v>
      </c>
      <c r="B8" s="15" t="s">
        <v>10</v>
      </c>
      <c r="C8" s="47"/>
      <c r="D8" s="48" t="s">
        <v>11</v>
      </c>
    </row>
    <row r="9" spans="1:5" ht="30">
      <c r="A9" s="44">
        <v>8</v>
      </c>
      <c r="B9" s="15" t="s">
        <v>12</v>
      </c>
      <c r="C9" s="47"/>
      <c r="D9" s="48" t="s">
        <v>13</v>
      </c>
    </row>
    <row r="10" spans="1:5" ht="30">
      <c r="A10" s="44">
        <v>9</v>
      </c>
      <c r="B10" s="15" t="s">
        <v>14</v>
      </c>
      <c r="C10" s="47"/>
      <c r="D10" s="48" t="s">
        <v>15</v>
      </c>
    </row>
    <row r="11" spans="1:5" ht="30">
      <c r="A11" s="44">
        <v>10</v>
      </c>
      <c r="B11" s="15" t="s">
        <v>16</v>
      </c>
      <c r="C11" s="47"/>
      <c r="D11" s="48" t="s">
        <v>17</v>
      </c>
    </row>
    <row r="12" spans="1:5" ht="30">
      <c r="A12" s="44">
        <v>11</v>
      </c>
      <c r="B12" s="15" t="s">
        <v>18</v>
      </c>
      <c r="C12" s="47"/>
      <c r="D12" s="48">
        <v>1.18</v>
      </c>
    </row>
    <row r="13" spans="1:5" ht="30">
      <c r="A13" s="44">
        <v>12</v>
      </c>
      <c r="B13" s="15" t="s">
        <v>19</v>
      </c>
      <c r="C13" s="47"/>
      <c r="D13" s="48">
        <v>1.19</v>
      </c>
    </row>
    <row r="14" spans="1:5" ht="30">
      <c r="A14" s="44">
        <v>13</v>
      </c>
      <c r="B14" s="15" t="s">
        <v>20</v>
      </c>
      <c r="C14" s="47"/>
      <c r="D14" s="48">
        <v>1.21</v>
      </c>
    </row>
    <row r="15" spans="1:5" ht="30">
      <c r="A15" s="44">
        <v>14</v>
      </c>
      <c r="B15" s="15" t="s">
        <v>21</v>
      </c>
      <c r="C15" s="47"/>
      <c r="D15" s="48">
        <v>1.22</v>
      </c>
    </row>
    <row r="16" spans="1:5" ht="30">
      <c r="A16" s="44">
        <v>15</v>
      </c>
      <c r="B16" s="15" t="s">
        <v>22</v>
      </c>
      <c r="C16" s="47"/>
      <c r="D16" s="48">
        <v>1.24</v>
      </c>
    </row>
    <row r="17" spans="1:4" ht="30">
      <c r="A17" s="44">
        <v>16</v>
      </c>
      <c r="B17" s="15" t="s">
        <v>23</v>
      </c>
      <c r="C17" s="47"/>
      <c r="D17" s="48">
        <v>1.49</v>
      </c>
    </row>
    <row r="18" spans="1:4" ht="30">
      <c r="A18" s="44">
        <v>17</v>
      </c>
      <c r="B18" s="15" t="s">
        <v>24</v>
      </c>
      <c r="C18" s="47"/>
      <c r="D18" s="48" t="s">
        <v>25</v>
      </c>
    </row>
    <row r="19" spans="1:4" ht="30">
      <c r="A19" s="44">
        <v>18</v>
      </c>
      <c r="B19" s="15" t="s">
        <v>26</v>
      </c>
      <c r="C19" s="47"/>
      <c r="D19" s="48" t="s">
        <v>27</v>
      </c>
    </row>
    <row r="20" spans="1:4" ht="30">
      <c r="A20" s="44">
        <v>19</v>
      </c>
      <c r="B20" s="15" t="s">
        <v>28</v>
      </c>
      <c r="C20" s="47"/>
      <c r="D20" s="48" t="s">
        <v>29</v>
      </c>
    </row>
    <row r="21" spans="1:4" ht="30">
      <c r="A21" s="44">
        <v>20</v>
      </c>
      <c r="B21" s="15" t="s">
        <v>30</v>
      </c>
      <c r="C21" s="47"/>
      <c r="D21" s="48" t="s">
        <v>31</v>
      </c>
    </row>
    <row r="22" spans="1:4" ht="30">
      <c r="A22" s="44">
        <v>21</v>
      </c>
      <c r="B22" s="15" t="s">
        <v>32</v>
      </c>
      <c r="C22" s="47"/>
      <c r="D22" s="48" t="s">
        <v>33</v>
      </c>
    </row>
    <row r="23" spans="1:4" ht="30">
      <c r="A23" s="44">
        <v>22</v>
      </c>
      <c r="B23" s="15" t="s">
        <v>34</v>
      </c>
      <c r="C23" s="47"/>
      <c r="D23" s="48" t="s">
        <v>35</v>
      </c>
    </row>
    <row r="24" spans="1:4" ht="30">
      <c r="A24" s="44">
        <v>23</v>
      </c>
      <c r="B24" s="15" t="s">
        <v>36</v>
      </c>
      <c r="C24" s="47"/>
      <c r="D24" s="48" t="s">
        <v>37</v>
      </c>
    </row>
    <row r="25" spans="1:4" ht="30">
      <c r="A25" s="44">
        <v>24</v>
      </c>
      <c r="B25" s="15" t="s">
        <v>38</v>
      </c>
      <c r="C25" s="47"/>
      <c r="D25" s="48">
        <v>2.5</v>
      </c>
    </row>
    <row r="26" spans="1:4" ht="30">
      <c r="A26" s="44">
        <v>25</v>
      </c>
      <c r="B26" s="15" t="s">
        <v>39</v>
      </c>
      <c r="C26" s="47"/>
      <c r="D26" s="48">
        <v>2.6</v>
      </c>
    </row>
    <row r="27" spans="1:4" ht="30">
      <c r="A27" s="44">
        <v>26</v>
      </c>
      <c r="B27" s="15" t="s">
        <v>40</v>
      </c>
      <c r="C27" s="47"/>
      <c r="D27" s="48">
        <v>2.7</v>
      </c>
    </row>
    <row r="28" spans="1:4" ht="30">
      <c r="A28" s="44">
        <v>27</v>
      </c>
      <c r="B28" s="15" t="s">
        <v>41</v>
      </c>
      <c r="C28" s="47"/>
      <c r="D28" s="48">
        <v>2.8</v>
      </c>
    </row>
    <row r="29" spans="1:4" ht="30">
      <c r="A29" s="44">
        <v>28</v>
      </c>
      <c r="B29" s="15" t="s">
        <v>42</v>
      </c>
      <c r="C29" s="47"/>
      <c r="D29" s="48">
        <v>2.9</v>
      </c>
    </row>
    <row r="30" spans="1:4" ht="30">
      <c r="A30" s="44">
        <v>29</v>
      </c>
      <c r="B30" s="15" t="s">
        <v>43</v>
      </c>
      <c r="C30" s="47"/>
      <c r="D30" s="48" t="s">
        <v>44</v>
      </c>
    </row>
    <row r="31" spans="1:4" ht="30">
      <c r="A31" s="44">
        <v>30</v>
      </c>
      <c r="B31" s="15" t="s">
        <v>45</v>
      </c>
      <c r="C31" s="47"/>
      <c r="D31" s="48" t="s">
        <v>46</v>
      </c>
    </row>
    <row r="32" spans="1:4" ht="30">
      <c r="A32" s="44">
        <v>31</v>
      </c>
      <c r="B32" s="15" t="s">
        <v>47</v>
      </c>
      <c r="C32" s="47"/>
      <c r="D32" s="48" t="s">
        <v>48</v>
      </c>
    </row>
    <row r="33" spans="1:4" ht="30">
      <c r="A33" s="44">
        <v>32</v>
      </c>
      <c r="B33" s="15" t="s">
        <v>49</v>
      </c>
      <c r="C33" s="47"/>
      <c r="D33" s="48">
        <v>2.17</v>
      </c>
    </row>
    <row r="34" spans="1:4" ht="30">
      <c r="A34" s="44">
        <v>33</v>
      </c>
      <c r="B34" s="15" t="s">
        <v>50</v>
      </c>
      <c r="C34" s="47"/>
      <c r="D34" s="48">
        <v>2.1800000000000002</v>
      </c>
    </row>
    <row r="35" spans="1:4" ht="30">
      <c r="A35" s="44">
        <v>34</v>
      </c>
      <c r="B35" s="15" t="s">
        <v>51</v>
      </c>
      <c r="C35" s="47"/>
      <c r="D35" s="48" t="s">
        <v>52</v>
      </c>
    </row>
    <row r="36" spans="1:4" ht="30">
      <c r="A36" s="44">
        <v>35</v>
      </c>
      <c r="B36" s="15" t="s">
        <v>53</v>
      </c>
      <c r="C36" s="47"/>
      <c r="D36" s="48" t="s">
        <v>54</v>
      </c>
    </row>
    <row r="37" spans="1:4" ht="30">
      <c r="A37" s="44">
        <v>36</v>
      </c>
      <c r="B37" s="15" t="s">
        <v>55</v>
      </c>
      <c r="C37" s="47"/>
      <c r="D37" s="48" t="s">
        <v>56</v>
      </c>
    </row>
    <row r="38" spans="1:4" ht="30">
      <c r="A38" s="44">
        <v>37</v>
      </c>
      <c r="B38" s="15" t="s">
        <v>57</v>
      </c>
      <c r="C38" s="47"/>
      <c r="D38" s="48" t="s">
        <v>58</v>
      </c>
    </row>
    <row r="39" spans="1:4" ht="30">
      <c r="A39" s="44">
        <v>38</v>
      </c>
      <c r="B39" s="15" t="s">
        <v>59</v>
      </c>
      <c r="C39" s="47"/>
      <c r="D39" s="48" t="s">
        <v>60</v>
      </c>
    </row>
    <row r="40" spans="1:4" ht="30">
      <c r="A40" s="44">
        <v>39</v>
      </c>
      <c r="B40" s="15" t="s">
        <v>61</v>
      </c>
      <c r="C40" s="47"/>
      <c r="D40" s="48" t="s">
        <v>62</v>
      </c>
    </row>
    <row r="41" spans="1:4" ht="30">
      <c r="A41" s="44">
        <v>40</v>
      </c>
      <c r="B41" s="15" t="s">
        <v>63</v>
      </c>
      <c r="C41" s="47"/>
      <c r="D41" s="48">
        <v>2.34</v>
      </c>
    </row>
    <row r="42" spans="1:4" ht="30">
      <c r="A42" s="44">
        <v>41</v>
      </c>
      <c r="B42" s="15" t="s">
        <v>64</v>
      </c>
      <c r="C42" s="47"/>
      <c r="D42" s="48">
        <v>2.35</v>
      </c>
    </row>
    <row r="43" spans="1:4" ht="30">
      <c r="A43" s="44">
        <v>42</v>
      </c>
      <c r="B43" s="15" t="s">
        <v>65</v>
      </c>
      <c r="C43" s="47"/>
      <c r="D43" s="48">
        <v>2.36</v>
      </c>
    </row>
    <row r="44" spans="1:4" ht="30">
      <c r="A44" s="44">
        <v>43</v>
      </c>
      <c r="B44" s="15" t="s">
        <v>66</v>
      </c>
      <c r="C44" s="47"/>
      <c r="D44" s="48">
        <v>2.41</v>
      </c>
    </row>
    <row r="45" spans="1:4" ht="30">
      <c r="A45" s="44">
        <v>44</v>
      </c>
      <c r="B45" s="15" t="s">
        <v>67</v>
      </c>
      <c r="C45" s="47"/>
      <c r="D45" s="48">
        <v>3.1</v>
      </c>
    </row>
    <row r="46" spans="1:4" ht="30">
      <c r="A46" s="44">
        <v>45</v>
      </c>
      <c r="B46" s="15" t="s">
        <v>68</v>
      </c>
      <c r="C46" s="47"/>
      <c r="D46" s="48">
        <v>3.3</v>
      </c>
    </row>
    <row r="47" spans="1:4" ht="30">
      <c r="A47" s="44">
        <v>46</v>
      </c>
      <c r="B47" s="15" t="s">
        <v>69</v>
      </c>
      <c r="C47" s="47"/>
      <c r="D47" s="48">
        <v>3.4</v>
      </c>
    </row>
    <row r="48" spans="1:4" ht="30">
      <c r="A48" s="44">
        <v>47</v>
      </c>
      <c r="B48" s="15" t="s">
        <v>70</v>
      </c>
      <c r="C48" s="47"/>
      <c r="D48" s="48" t="s">
        <v>71</v>
      </c>
    </row>
    <row r="49" spans="1:4" ht="45">
      <c r="A49" s="44">
        <v>48</v>
      </c>
      <c r="B49" s="15" t="s">
        <v>72</v>
      </c>
      <c r="C49" s="47"/>
      <c r="D49" s="48">
        <v>3.7</v>
      </c>
    </row>
    <row r="50" spans="1:4" ht="30">
      <c r="A50" s="44">
        <v>49</v>
      </c>
      <c r="B50" s="15" t="s">
        <v>73</v>
      </c>
      <c r="C50" s="47"/>
      <c r="D50" s="48" t="s">
        <v>74</v>
      </c>
    </row>
    <row r="51" spans="1:4" ht="30">
      <c r="A51" s="44">
        <v>50</v>
      </c>
      <c r="B51" s="15" t="s">
        <v>75</v>
      </c>
      <c r="C51" s="47"/>
      <c r="D51" s="48" t="s">
        <v>76</v>
      </c>
    </row>
    <row r="52" spans="1:4" ht="30">
      <c r="A52" s="44">
        <v>51</v>
      </c>
      <c r="B52" s="15" t="s">
        <v>77</v>
      </c>
      <c r="C52" s="47"/>
      <c r="D52" s="48">
        <v>3.21</v>
      </c>
    </row>
    <row r="53" spans="1:4" ht="30">
      <c r="A53" s="44">
        <v>52</v>
      </c>
      <c r="B53" s="15" t="s">
        <v>78</v>
      </c>
      <c r="C53" s="47"/>
      <c r="D53" s="48">
        <v>3.22</v>
      </c>
    </row>
    <row r="54" spans="1:4" ht="30">
      <c r="A54" s="44">
        <v>53</v>
      </c>
      <c r="B54" s="15" t="s">
        <v>79</v>
      </c>
      <c r="C54" s="47"/>
      <c r="D54" s="48" t="s">
        <v>80</v>
      </c>
    </row>
    <row r="55" spans="1:4" ht="45">
      <c r="A55" s="44">
        <v>54</v>
      </c>
      <c r="B55" s="15" t="s">
        <v>81</v>
      </c>
      <c r="C55" s="47"/>
      <c r="D55" s="10">
        <v>3.31</v>
      </c>
    </row>
    <row r="56" spans="1:4" ht="30">
      <c r="A56" s="44">
        <v>55</v>
      </c>
      <c r="B56" s="15" t="s">
        <v>82</v>
      </c>
      <c r="C56" s="47"/>
      <c r="D56" s="48">
        <v>4.0999999999999996</v>
      </c>
    </row>
    <row r="57" spans="1:4" ht="30">
      <c r="A57" s="44">
        <v>56</v>
      </c>
      <c r="B57" s="15" t="s">
        <v>83</v>
      </c>
      <c r="C57" s="47"/>
      <c r="D57" s="48">
        <v>4.2</v>
      </c>
    </row>
  </sheetData>
  <pageMargins left="0.74803149606299213" right="0.74803149606299213" top="0.98425196850393704" bottom="0.98425196850393704" header="0.51181102362204722" footer="0.51181102362204722"/>
  <pageSetup scale="49" orientation="portrait" r:id="rId1"/>
  <headerFooter>
    <oddFooter>&amp;C&amp;A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view="pageBreakPreview" zoomScale="60" zoomScaleNormal="100" workbookViewId="0">
      <selection activeCell="C22" sqref="C22"/>
    </sheetView>
  </sheetViews>
  <sheetFormatPr defaultColWidth="11.42578125" defaultRowHeight="15"/>
  <cols>
    <col min="1" max="1" width="16.28515625" style="5" customWidth="1"/>
    <col min="2" max="2" width="57.7109375" style="3" customWidth="1"/>
    <col min="3" max="4" width="14.42578125" style="3" customWidth="1"/>
    <col min="5" max="5" width="13.7109375" style="3" customWidth="1"/>
    <col min="6" max="6" width="11.42578125" style="3"/>
    <col min="7" max="7" width="16.140625" style="3" customWidth="1"/>
    <col min="8" max="8" width="11.28515625" style="3" customWidth="1"/>
    <col min="9" max="9" width="27.28515625" style="3" customWidth="1"/>
    <col min="10" max="16384" width="11.42578125" style="3"/>
  </cols>
  <sheetData>
    <row r="1" spans="1:9">
      <c r="A1" s="58" t="s">
        <v>84</v>
      </c>
      <c r="B1" s="58"/>
      <c r="C1" s="58"/>
      <c r="D1" s="58"/>
      <c r="E1" s="58"/>
      <c r="F1" s="58"/>
      <c r="G1" s="58"/>
      <c r="H1" s="58"/>
      <c r="I1" s="58"/>
    </row>
    <row r="2" spans="1:9">
      <c r="A2" s="58"/>
      <c r="B2" s="58"/>
      <c r="C2" s="58"/>
      <c r="D2" s="58"/>
      <c r="E2" s="58"/>
      <c r="F2" s="58"/>
      <c r="G2" s="58"/>
      <c r="H2" s="58"/>
      <c r="I2" s="58"/>
    </row>
    <row r="3" spans="1:9" ht="33" customHeight="1">
      <c r="A3" s="59"/>
      <c r="B3" s="1" t="s">
        <v>85</v>
      </c>
      <c r="C3" s="60" t="s">
        <v>86</v>
      </c>
      <c r="D3" s="60"/>
      <c r="E3" s="60"/>
      <c r="F3" s="58"/>
      <c r="G3" s="58"/>
      <c r="H3" s="2" t="s">
        <v>87</v>
      </c>
      <c r="I3" s="2"/>
    </row>
    <row r="4" spans="1:9" ht="33" customHeight="1">
      <c r="A4" s="59"/>
      <c r="B4" s="1" t="s">
        <v>88</v>
      </c>
      <c r="C4" s="60" t="s">
        <v>89</v>
      </c>
      <c r="D4" s="60"/>
      <c r="E4" s="60"/>
      <c r="F4" s="58"/>
      <c r="G4" s="58"/>
      <c r="H4" s="2" t="s">
        <v>87</v>
      </c>
      <c r="I4" s="2"/>
    </row>
    <row r="5" spans="1:9">
      <c r="A5" s="59"/>
      <c r="B5" s="1"/>
      <c r="C5" s="60" t="s">
        <v>90</v>
      </c>
      <c r="D5" s="60"/>
      <c r="E5" s="60"/>
      <c r="F5" s="61" t="s">
        <v>91</v>
      </c>
      <c r="G5" s="58"/>
      <c r="H5" s="62"/>
      <c r="I5" s="62"/>
    </row>
    <row r="6" spans="1:9" ht="51" customHeight="1">
      <c r="A6" s="4" t="s">
        <v>92</v>
      </c>
      <c r="B6" s="55" t="s">
        <v>93</v>
      </c>
      <c r="C6" s="55"/>
      <c r="D6" s="55"/>
      <c r="E6" s="55"/>
      <c r="F6" s="55" t="s">
        <v>94</v>
      </c>
      <c r="G6" s="55"/>
      <c r="H6" s="56" t="s">
        <v>95</v>
      </c>
      <c r="I6" s="56"/>
    </row>
    <row r="7" spans="1:9" ht="30" customHeight="1">
      <c r="A7" s="10">
        <v>1</v>
      </c>
      <c r="B7" s="49" t="s">
        <v>96</v>
      </c>
      <c r="C7" s="49"/>
      <c r="D7" s="49"/>
      <c r="E7" s="49"/>
      <c r="F7" s="50">
        <v>0</v>
      </c>
      <c r="G7" s="50"/>
      <c r="H7" s="57"/>
      <c r="I7" s="57"/>
    </row>
    <row r="8" spans="1:9">
      <c r="A8" s="10">
        <v>2</v>
      </c>
      <c r="B8" s="49" t="s">
        <v>97</v>
      </c>
      <c r="C8" s="49"/>
      <c r="D8" s="49"/>
      <c r="E8" s="49"/>
      <c r="F8" s="50">
        <v>0</v>
      </c>
      <c r="G8" s="50"/>
      <c r="H8" s="51"/>
      <c r="I8" s="51"/>
    </row>
    <row r="9" spans="1:9">
      <c r="A9" s="52" t="s">
        <v>98</v>
      </c>
      <c r="B9" s="52"/>
      <c r="C9" s="52"/>
      <c r="D9" s="52"/>
      <c r="E9" s="52"/>
      <c r="F9" s="53">
        <f>+F7+F8</f>
        <v>0</v>
      </c>
      <c r="G9" s="53"/>
      <c r="H9" s="54"/>
      <c r="I9" s="54"/>
    </row>
  </sheetData>
  <sheetProtection algorithmName="SHA-512" hashValue="JecKe2A4zudw1HH36xeqElazmzPbnVIUDadzLZC6RFDrV6Q3eUBATQHzsrg784OmtwQigNCieaaUZH5EMB2R/A==" saltValue="yMUjcIATEGHKRk5ZUS0RLg==" spinCount="100000" sheet="1" objects="1" scenarios="1"/>
  <mergeCells count="21">
    <mergeCell ref="A1:I2"/>
    <mergeCell ref="A3:A5"/>
    <mergeCell ref="C3:E3"/>
    <mergeCell ref="F3:G3"/>
    <mergeCell ref="C4:E4"/>
    <mergeCell ref="F4:G4"/>
    <mergeCell ref="C5:E5"/>
    <mergeCell ref="F5:G5"/>
    <mergeCell ref="H5:I5"/>
    <mergeCell ref="B6:E6"/>
    <mergeCell ref="F6:G6"/>
    <mergeCell ref="H6:I6"/>
    <mergeCell ref="B7:E7"/>
    <mergeCell ref="F7:G7"/>
    <mergeCell ref="H7:I7"/>
    <mergeCell ref="B8:E8"/>
    <mergeCell ref="F8:G8"/>
    <mergeCell ref="H8:I8"/>
    <mergeCell ref="A9:E9"/>
    <mergeCell ref="F9:G9"/>
    <mergeCell ref="H9:I9"/>
  </mergeCells>
  <pageMargins left="0.70866141732283472" right="0.70866141732283472" top="0.74803149606299213" bottom="0.74803149606299213" header="0.31496062992125984" footer="0.31496062992125984"/>
  <pageSetup scale="49" orientation="portrait" r:id="rId1"/>
  <headerFooter>
    <oddFooter>&amp;C&amp;A</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4"/>
  <sheetViews>
    <sheetView view="pageBreakPreview" zoomScale="60" zoomScaleNormal="100" workbookViewId="0">
      <selection activeCell="E7" sqref="E7"/>
    </sheetView>
  </sheetViews>
  <sheetFormatPr defaultColWidth="11.42578125" defaultRowHeight="15"/>
  <cols>
    <col min="1" max="1" width="16.28515625" style="5" customWidth="1"/>
    <col min="2" max="2" width="57.7109375" style="3" customWidth="1"/>
    <col min="3" max="3" width="11.5703125" style="3" bestFit="1" customWidth="1"/>
    <col min="4" max="5" width="11.85546875" style="3" bestFit="1" customWidth="1"/>
    <col min="6" max="6" width="8.85546875" style="3" bestFit="1" customWidth="1"/>
    <col min="7" max="7" width="14.140625" style="3" bestFit="1" customWidth="1"/>
    <col min="8" max="8" width="11.28515625" style="3" customWidth="1"/>
    <col min="9" max="9" width="27.28515625" style="3" customWidth="1"/>
    <col min="10" max="16384" width="11.42578125" style="3"/>
  </cols>
  <sheetData>
    <row r="1" spans="1:9">
      <c r="A1" s="58" t="s">
        <v>84</v>
      </c>
      <c r="B1" s="58"/>
      <c r="C1" s="58"/>
      <c r="D1" s="58"/>
      <c r="E1" s="58"/>
      <c r="F1" s="58"/>
      <c r="G1" s="58"/>
      <c r="H1" s="58"/>
      <c r="I1" s="58"/>
    </row>
    <row r="2" spans="1:9">
      <c r="A2" s="58"/>
      <c r="B2" s="58"/>
      <c r="C2" s="58"/>
      <c r="D2" s="58"/>
      <c r="E2" s="58"/>
      <c r="F2" s="58"/>
      <c r="G2" s="58"/>
      <c r="H2" s="58"/>
      <c r="I2" s="58"/>
    </row>
    <row r="3" spans="1:9" ht="33" customHeight="1">
      <c r="A3" s="59"/>
      <c r="B3" s="1" t="s">
        <v>85</v>
      </c>
      <c r="C3" s="60" t="s">
        <v>86</v>
      </c>
      <c r="D3" s="60"/>
      <c r="E3" s="60"/>
      <c r="F3" s="58"/>
      <c r="G3" s="58"/>
      <c r="H3" s="2" t="s">
        <v>87</v>
      </c>
      <c r="I3" s="2"/>
    </row>
    <row r="4" spans="1:9" ht="33" customHeight="1">
      <c r="A4" s="59"/>
      <c r="B4" s="1" t="s">
        <v>88</v>
      </c>
      <c r="C4" s="60" t="s">
        <v>89</v>
      </c>
      <c r="D4" s="60"/>
      <c r="E4" s="60"/>
      <c r="F4" s="58"/>
      <c r="G4" s="58"/>
      <c r="H4" s="2" t="s">
        <v>87</v>
      </c>
      <c r="I4" s="2"/>
    </row>
    <row r="5" spans="1:9">
      <c r="A5" s="59"/>
      <c r="B5" s="1"/>
      <c r="C5" s="60" t="s">
        <v>90</v>
      </c>
      <c r="D5" s="60"/>
      <c r="E5" s="60"/>
      <c r="F5" s="61" t="s">
        <v>91</v>
      </c>
      <c r="G5" s="58"/>
      <c r="H5" s="62"/>
      <c r="I5" s="62"/>
    </row>
    <row r="6" spans="1:9" ht="30">
      <c r="A6" s="4" t="s">
        <v>92</v>
      </c>
      <c r="B6" s="4" t="s">
        <v>99</v>
      </c>
      <c r="C6" s="4" t="s">
        <v>100</v>
      </c>
      <c r="D6" s="4" t="s">
        <v>94</v>
      </c>
      <c r="E6" s="4" t="s">
        <v>101</v>
      </c>
      <c r="F6" s="4" t="s">
        <v>102</v>
      </c>
      <c r="G6" s="6" t="s">
        <v>103</v>
      </c>
      <c r="H6" s="56" t="s">
        <v>95</v>
      </c>
      <c r="I6" s="56"/>
    </row>
    <row r="7" spans="1:9" ht="66" customHeight="1">
      <c r="A7" s="10">
        <v>1.1000000000000001</v>
      </c>
      <c r="B7" s="41" t="s">
        <v>104</v>
      </c>
      <c r="C7" s="11">
        <f>Datos!C2</f>
        <v>0</v>
      </c>
      <c r="D7" s="7">
        <v>0</v>
      </c>
      <c r="E7" s="7">
        <v>0</v>
      </c>
      <c r="F7" s="11">
        <f t="shared" ref="F7:F33" si="0">D7-E7</f>
        <v>0</v>
      </c>
      <c r="G7" s="13" t="e">
        <f>1-(F7)/C7</f>
        <v>#DIV/0!</v>
      </c>
      <c r="H7" s="57"/>
      <c r="I7" s="57"/>
    </row>
    <row r="8" spans="1:9" ht="45">
      <c r="A8" s="10">
        <v>1.4</v>
      </c>
      <c r="B8" s="26" t="s">
        <v>105</v>
      </c>
      <c r="C8" s="11">
        <f>Datos!C3</f>
        <v>0</v>
      </c>
      <c r="D8" s="7">
        <v>0</v>
      </c>
      <c r="E8" s="7">
        <v>0</v>
      </c>
      <c r="F8" s="11">
        <f t="shared" si="0"/>
        <v>0</v>
      </c>
      <c r="G8" s="13" t="e">
        <f t="shared" ref="G8:G33" si="1">1-(F8)/C8</f>
        <v>#DIV/0!</v>
      </c>
      <c r="H8" s="51"/>
      <c r="I8" s="51"/>
    </row>
    <row r="9" spans="1:9" ht="60">
      <c r="A9" s="10">
        <v>1.5</v>
      </c>
      <c r="B9" s="16" t="s">
        <v>106</v>
      </c>
      <c r="C9" s="11">
        <f>Datos!C4</f>
        <v>0</v>
      </c>
      <c r="D9" s="7">
        <v>0</v>
      </c>
      <c r="E9" s="7">
        <v>0</v>
      </c>
      <c r="F9" s="11">
        <f t="shared" si="0"/>
        <v>0</v>
      </c>
      <c r="G9" s="13" t="e">
        <f t="shared" si="1"/>
        <v>#DIV/0!</v>
      </c>
      <c r="H9" s="51"/>
      <c r="I9" s="51"/>
    </row>
    <row r="10" spans="1:9" ht="45">
      <c r="A10" s="10">
        <v>1.6</v>
      </c>
      <c r="B10" s="16" t="s">
        <v>107</v>
      </c>
      <c r="C10" s="11">
        <f>Datos!C5</f>
        <v>0</v>
      </c>
      <c r="D10" s="7">
        <v>0</v>
      </c>
      <c r="E10" s="7">
        <v>0</v>
      </c>
      <c r="F10" s="11">
        <f t="shared" si="0"/>
        <v>0</v>
      </c>
      <c r="G10" s="13" t="e">
        <f t="shared" si="1"/>
        <v>#DIV/0!</v>
      </c>
      <c r="H10" s="51"/>
      <c r="I10" s="51"/>
    </row>
    <row r="11" spans="1:9" ht="60">
      <c r="A11" s="10">
        <v>1.7</v>
      </c>
      <c r="B11" s="16" t="s">
        <v>108</v>
      </c>
      <c r="C11" s="11">
        <f>Datos!C6</f>
        <v>0</v>
      </c>
      <c r="D11" s="7">
        <v>0</v>
      </c>
      <c r="E11" s="7">
        <v>0</v>
      </c>
      <c r="F11" s="11">
        <f t="shared" si="0"/>
        <v>0</v>
      </c>
      <c r="G11" s="13" t="e">
        <f t="shared" si="1"/>
        <v>#DIV/0!</v>
      </c>
      <c r="H11" s="51"/>
      <c r="I11" s="51"/>
    </row>
    <row r="12" spans="1:9" ht="30">
      <c r="A12" s="10">
        <v>1.8</v>
      </c>
      <c r="B12" s="16" t="s">
        <v>109</v>
      </c>
      <c r="C12" s="11">
        <f>Datos!C7</f>
        <v>0</v>
      </c>
      <c r="D12" s="7">
        <v>0</v>
      </c>
      <c r="E12" s="7">
        <v>0</v>
      </c>
      <c r="F12" s="11">
        <f t="shared" si="0"/>
        <v>0</v>
      </c>
      <c r="G12" s="13" t="e">
        <f t="shared" si="1"/>
        <v>#DIV/0!</v>
      </c>
      <c r="H12" s="51"/>
      <c r="I12" s="51"/>
    </row>
    <row r="13" spans="1:9" ht="30">
      <c r="A13" s="10">
        <v>1.9</v>
      </c>
      <c r="B13" s="14" t="s">
        <v>110</v>
      </c>
      <c r="C13" s="11">
        <f>Datos!C8</f>
        <v>0</v>
      </c>
      <c r="D13" s="7">
        <v>0</v>
      </c>
      <c r="E13" s="7">
        <v>0</v>
      </c>
      <c r="F13" s="11">
        <f t="shared" si="0"/>
        <v>0</v>
      </c>
      <c r="G13" s="13" t="e">
        <f t="shared" si="1"/>
        <v>#DIV/0!</v>
      </c>
      <c r="H13" s="51"/>
      <c r="I13" s="51"/>
    </row>
    <row r="14" spans="1:9" ht="30">
      <c r="A14" s="10" t="s">
        <v>111</v>
      </c>
      <c r="B14" s="14" t="s">
        <v>112</v>
      </c>
      <c r="C14" s="11">
        <f>Datos!C8</f>
        <v>0</v>
      </c>
      <c r="D14" s="7">
        <v>0</v>
      </c>
      <c r="E14" s="7">
        <v>0</v>
      </c>
      <c r="F14" s="11">
        <f t="shared" si="0"/>
        <v>0</v>
      </c>
      <c r="G14" s="13" t="e">
        <f t="shared" si="1"/>
        <v>#DIV/0!</v>
      </c>
      <c r="H14" s="51"/>
      <c r="I14" s="51"/>
    </row>
    <row r="15" spans="1:9" ht="90">
      <c r="A15" s="10">
        <v>1.1200000000000001</v>
      </c>
      <c r="B15" s="27" t="s">
        <v>113</v>
      </c>
      <c r="C15" s="11">
        <f>Datos!C9</f>
        <v>0</v>
      </c>
      <c r="D15" s="7">
        <v>0</v>
      </c>
      <c r="E15" s="7">
        <v>0</v>
      </c>
      <c r="F15" s="11">
        <f t="shared" si="0"/>
        <v>0</v>
      </c>
      <c r="G15" s="13" t="e">
        <f t="shared" si="1"/>
        <v>#DIV/0!</v>
      </c>
      <c r="H15" s="51"/>
      <c r="I15" s="51"/>
    </row>
    <row r="16" spans="1:9" ht="45">
      <c r="A16" s="10">
        <v>1.1299999999999999</v>
      </c>
      <c r="B16" s="15" t="s">
        <v>114</v>
      </c>
      <c r="C16" s="11">
        <f>Datos!C10</f>
        <v>0</v>
      </c>
      <c r="D16" s="7"/>
      <c r="E16" s="7"/>
      <c r="F16" s="11">
        <f t="shared" si="0"/>
        <v>0</v>
      </c>
      <c r="G16" s="13" t="e">
        <f t="shared" si="1"/>
        <v>#DIV/0!</v>
      </c>
      <c r="H16" s="51"/>
      <c r="I16" s="51"/>
    </row>
    <row r="17" spans="1:9" ht="45">
      <c r="A17" s="10">
        <v>1.1399999999999999</v>
      </c>
      <c r="B17" s="16" t="s">
        <v>115</v>
      </c>
      <c r="C17" s="11">
        <f>Datos!C10</f>
        <v>0</v>
      </c>
      <c r="D17" s="7">
        <v>0</v>
      </c>
      <c r="E17" s="7">
        <v>0</v>
      </c>
      <c r="F17" s="11">
        <f t="shared" si="0"/>
        <v>0</v>
      </c>
      <c r="G17" s="13" t="e">
        <f t="shared" si="1"/>
        <v>#DIV/0!</v>
      </c>
      <c r="H17" s="51"/>
      <c r="I17" s="51"/>
    </row>
    <row r="18" spans="1:9" ht="45">
      <c r="A18" s="10">
        <v>1.1499999999999999</v>
      </c>
      <c r="B18" s="15" t="s">
        <v>116</v>
      </c>
      <c r="C18" s="11">
        <f>Datos!C11</f>
        <v>0</v>
      </c>
      <c r="D18" s="7">
        <v>0</v>
      </c>
      <c r="E18" s="7">
        <v>0</v>
      </c>
      <c r="F18" s="11">
        <f t="shared" si="0"/>
        <v>0</v>
      </c>
      <c r="G18" s="13" t="e">
        <f t="shared" si="1"/>
        <v>#DIV/0!</v>
      </c>
      <c r="H18" s="63"/>
      <c r="I18" s="63"/>
    </row>
    <row r="19" spans="1:9" ht="45">
      <c r="A19" s="10">
        <v>1.18</v>
      </c>
      <c r="B19" s="16" t="s">
        <v>117</v>
      </c>
      <c r="C19" s="11">
        <f>Datos!C12</f>
        <v>0</v>
      </c>
      <c r="D19" s="7">
        <v>0</v>
      </c>
      <c r="E19" s="7">
        <v>0</v>
      </c>
      <c r="F19" s="11">
        <f t="shared" si="0"/>
        <v>0</v>
      </c>
      <c r="G19" s="13" t="e">
        <f t="shared" si="1"/>
        <v>#DIV/0!</v>
      </c>
      <c r="H19" s="51"/>
      <c r="I19" s="51"/>
    </row>
    <row r="20" spans="1:9" ht="45">
      <c r="A20" s="10">
        <v>1.19</v>
      </c>
      <c r="B20" s="16" t="s">
        <v>118</v>
      </c>
      <c r="C20" s="11">
        <f>Datos!C13</f>
        <v>0</v>
      </c>
      <c r="D20" s="7">
        <v>0</v>
      </c>
      <c r="E20" s="7">
        <v>0</v>
      </c>
      <c r="F20" s="11">
        <f t="shared" si="0"/>
        <v>0</v>
      </c>
      <c r="G20" s="13" t="e">
        <f t="shared" si="1"/>
        <v>#DIV/0!</v>
      </c>
      <c r="H20" s="63"/>
      <c r="I20" s="63"/>
    </row>
    <row r="21" spans="1:9" ht="135">
      <c r="A21" s="10">
        <v>1.21</v>
      </c>
      <c r="B21" s="16" t="s">
        <v>119</v>
      </c>
      <c r="C21" s="11">
        <f>Datos!C14</f>
        <v>0</v>
      </c>
      <c r="D21" s="7">
        <v>0</v>
      </c>
      <c r="E21" s="7">
        <v>0</v>
      </c>
      <c r="F21" s="11">
        <f t="shared" si="0"/>
        <v>0</v>
      </c>
      <c r="G21" s="13" t="e">
        <f t="shared" si="1"/>
        <v>#DIV/0!</v>
      </c>
      <c r="H21" s="63"/>
      <c r="I21" s="63"/>
    </row>
    <row r="22" spans="1:9" ht="30">
      <c r="A22" s="10">
        <v>1.22</v>
      </c>
      <c r="B22" s="32" t="s">
        <v>120</v>
      </c>
      <c r="C22" s="11">
        <f>Datos!C15</f>
        <v>0</v>
      </c>
      <c r="D22" s="7">
        <v>0</v>
      </c>
      <c r="E22" s="7">
        <v>0</v>
      </c>
      <c r="F22" s="11">
        <f t="shared" si="0"/>
        <v>0</v>
      </c>
      <c r="G22" s="13" t="e">
        <f t="shared" si="1"/>
        <v>#DIV/0!</v>
      </c>
      <c r="H22" s="63"/>
      <c r="I22" s="63"/>
    </row>
    <row r="23" spans="1:9" ht="60">
      <c r="A23" s="10">
        <v>1.23</v>
      </c>
      <c r="B23" s="27" t="s">
        <v>121</v>
      </c>
      <c r="C23" s="11">
        <f>Datos!C9</f>
        <v>0</v>
      </c>
      <c r="D23" s="7">
        <v>0</v>
      </c>
      <c r="E23" s="7">
        <v>0</v>
      </c>
      <c r="F23" s="11">
        <f t="shared" si="0"/>
        <v>0</v>
      </c>
      <c r="G23" s="13" t="e">
        <f t="shared" si="1"/>
        <v>#DIV/0!</v>
      </c>
      <c r="H23" s="51"/>
      <c r="I23" s="51"/>
    </row>
    <row r="24" spans="1:9" ht="135">
      <c r="A24" s="10">
        <v>1.24</v>
      </c>
      <c r="B24" s="16" t="s">
        <v>122</v>
      </c>
      <c r="C24" s="11">
        <f>Datos!C16</f>
        <v>0</v>
      </c>
      <c r="D24" s="7">
        <v>0</v>
      </c>
      <c r="E24" s="7">
        <v>0</v>
      </c>
      <c r="F24" s="11">
        <f t="shared" si="0"/>
        <v>0</v>
      </c>
      <c r="G24" s="13" t="e">
        <f t="shared" si="1"/>
        <v>#DIV/0!</v>
      </c>
      <c r="H24" s="63"/>
      <c r="I24" s="63"/>
    </row>
    <row r="25" spans="1:9" ht="45">
      <c r="A25" s="10">
        <v>1.49</v>
      </c>
      <c r="B25" s="27" t="s">
        <v>123</v>
      </c>
      <c r="C25" s="11">
        <f>Datos!C17</f>
        <v>0</v>
      </c>
      <c r="D25" s="7">
        <v>0</v>
      </c>
      <c r="E25" s="7">
        <v>0</v>
      </c>
      <c r="F25" s="11">
        <f t="shared" si="0"/>
        <v>0</v>
      </c>
      <c r="G25" s="13" t="e">
        <f t="shared" si="1"/>
        <v>#DIV/0!</v>
      </c>
      <c r="H25" s="51"/>
      <c r="I25" s="51"/>
    </row>
    <row r="26" spans="1:9" ht="45">
      <c r="A26" s="10" t="s">
        <v>25</v>
      </c>
      <c r="B26" s="27" t="s">
        <v>124</v>
      </c>
      <c r="C26" s="11">
        <f>Datos!C18</f>
        <v>0</v>
      </c>
      <c r="D26" s="7">
        <v>0</v>
      </c>
      <c r="E26" s="7">
        <v>0</v>
      </c>
      <c r="F26" s="11">
        <f t="shared" si="0"/>
        <v>0</v>
      </c>
      <c r="G26" s="13" t="e">
        <f t="shared" si="1"/>
        <v>#DIV/0!</v>
      </c>
      <c r="H26" s="51"/>
      <c r="I26" s="51"/>
    </row>
    <row r="27" spans="1:9" ht="45">
      <c r="A27" s="10">
        <v>1.51</v>
      </c>
      <c r="B27" s="27" t="s">
        <v>125</v>
      </c>
      <c r="C27" s="11">
        <f>Datos!C19</f>
        <v>0</v>
      </c>
      <c r="D27" s="7">
        <v>0</v>
      </c>
      <c r="E27" s="7">
        <v>0</v>
      </c>
      <c r="F27" s="11">
        <f t="shared" si="0"/>
        <v>0</v>
      </c>
      <c r="G27" s="13" t="e">
        <f t="shared" si="1"/>
        <v>#DIV/0!</v>
      </c>
      <c r="H27" s="51"/>
      <c r="I27" s="51"/>
    </row>
    <row r="28" spans="1:9" ht="45">
      <c r="A28" s="10">
        <v>1.52</v>
      </c>
      <c r="B28" s="27" t="s">
        <v>126</v>
      </c>
      <c r="C28" s="11">
        <f>Datos!C20</f>
        <v>0</v>
      </c>
      <c r="D28" s="7">
        <v>0</v>
      </c>
      <c r="E28" s="7">
        <v>0</v>
      </c>
      <c r="F28" s="11">
        <f t="shared" si="0"/>
        <v>0</v>
      </c>
      <c r="G28" s="13" t="e">
        <f t="shared" si="1"/>
        <v>#DIV/0!</v>
      </c>
      <c r="H28" s="51"/>
      <c r="I28" s="51"/>
    </row>
    <row r="29" spans="1:9" ht="45">
      <c r="A29" s="10">
        <v>1.53</v>
      </c>
      <c r="B29" s="27" t="s">
        <v>127</v>
      </c>
      <c r="C29" s="11">
        <f>Datos!C21</f>
        <v>0</v>
      </c>
      <c r="D29" s="7">
        <v>0</v>
      </c>
      <c r="E29" s="7">
        <v>0</v>
      </c>
      <c r="F29" s="11">
        <f t="shared" si="0"/>
        <v>0</v>
      </c>
      <c r="G29" s="13" t="e">
        <f t="shared" si="1"/>
        <v>#DIV/0!</v>
      </c>
      <c r="H29" s="51"/>
      <c r="I29" s="51"/>
    </row>
    <row r="30" spans="1:9" ht="45">
      <c r="A30" s="10">
        <v>1.54</v>
      </c>
      <c r="B30" s="27" t="s">
        <v>128</v>
      </c>
      <c r="C30" s="11">
        <f>Datos!C22</f>
        <v>0</v>
      </c>
      <c r="D30" s="7">
        <v>0</v>
      </c>
      <c r="E30" s="7">
        <v>0</v>
      </c>
      <c r="F30" s="11">
        <f t="shared" si="0"/>
        <v>0</v>
      </c>
      <c r="G30" s="13" t="e">
        <f t="shared" si="1"/>
        <v>#DIV/0!</v>
      </c>
      <c r="H30" s="51"/>
      <c r="I30" s="51"/>
    </row>
    <row r="31" spans="1:9" ht="30">
      <c r="A31" s="10">
        <v>1.55</v>
      </c>
      <c r="B31" s="28" t="s">
        <v>129</v>
      </c>
      <c r="C31" s="11">
        <f>Datos!C19</f>
        <v>0</v>
      </c>
      <c r="D31" s="7">
        <v>0</v>
      </c>
      <c r="E31" s="7">
        <v>0</v>
      </c>
      <c r="F31" s="11">
        <f t="shared" si="0"/>
        <v>0</v>
      </c>
      <c r="G31" s="13" t="e">
        <f t="shared" si="1"/>
        <v>#DIV/0!</v>
      </c>
      <c r="H31" s="51"/>
      <c r="I31" s="51"/>
    </row>
    <row r="32" spans="1:9" ht="30">
      <c r="A32" s="10">
        <v>1.56</v>
      </c>
      <c r="B32" s="28" t="s">
        <v>130</v>
      </c>
      <c r="C32" s="11">
        <f>Datos!C23</f>
        <v>0</v>
      </c>
      <c r="D32" s="7">
        <v>0</v>
      </c>
      <c r="E32" s="7">
        <v>0</v>
      </c>
      <c r="F32" s="11">
        <f t="shared" si="0"/>
        <v>0</v>
      </c>
      <c r="G32" s="13" t="e">
        <f t="shared" si="1"/>
        <v>#DIV/0!</v>
      </c>
      <c r="H32" s="51"/>
      <c r="I32" s="51"/>
    </row>
    <row r="33" spans="1:9" ht="45">
      <c r="A33" s="29" t="s">
        <v>37</v>
      </c>
      <c r="B33" s="27" t="s">
        <v>131</v>
      </c>
      <c r="C33" s="11">
        <f>Datos!C24</f>
        <v>0</v>
      </c>
      <c r="D33" s="7">
        <v>0</v>
      </c>
      <c r="E33" s="7">
        <v>0</v>
      </c>
      <c r="F33" s="11">
        <f t="shared" si="0"/>
        <v>0</v>
      </c>
      <c r="G33" s="13" t="e">
        <f t="shared" si="1"/>
        <v>#DIV/0!</v>
      </c>
      <c r="H33" s="51"/>
      <c r="I33" s="51"/>
    </row>
    <row r="34" spans="1:9">
      <c r="A34" s="52" t="s">
        <v>132</v>
      </c>
      <c r="B34" s="52"/>
      <c r="C34" s="52"/>
      <c r="D34" s="52"/>
      <c r="E34" s="52"/>
      <c r="F34" s="52"/>
      <c r="G34" s="8" t="s">
        <v>133</v>
      </c>
      <c r="H34" s="64"/>
      <c r="I34" s="64"/>
    </row>
  </sheetData>
  <mergeCells count="39">
    <mergeCell ref="H34:I34"/>
    <mergeCell ref="A1:I2"/>
    <mergeCell ref="C5:E5"/>
    <mergeCell ref="F5:G5"/>
    <mergeCell ref="H29:I29"/>
    <mergeCell ref="H30:I30"/>
    <mergeCell ref="H31:I31"/>
    <mergeCell ref="H32:I32"/>
    <mergeCell ref="H33:I33"/>
    <mergeCell ref="H24:I24"/>
    <mergeCell ref="H25:I25"/>
    <mergeCell ref="H26:I26"/>
    <mergeCell ref="H27:I27"/>
    <mergeCell ref="H28:I28"/>
    <mergeCell ref="H20:I20"/>
    <mergeCell ref="H21:I21"/>
    <mergeCell ref="H22:I22"/>
    <mergeCell ref="H23:I23"/>
    <mergeCell ref="C3:E3"/>
    <mergeCell ref="C4:E4"/>
    <mergeCell ref="F3:G3"/>
    <mergeCell ref="F4:G4"/>
    <mergeCell ref="H19:I19"/>
    <mergeCell ref="A3:A5"/>
    <mergeCell ref="A34:F34"/>
    <mergeCell ref="H6:I6"/>
    <mergeCell ref="H7:I7"/>
    <mergeCell ref="H5:I5"/>
    <mergeCell ref="H8:I8"/>
    <mergeCell ref="H9:I9"/>
    <mergeCell ref="H10:I10"/>
    <mergeCell ref="H11:I11"/>
    <mergeCell ref="H12:I12"/>
    <mergeCell ref="H13:I13"/>
    <mergeCell ref="H14:I14"/>
    <mergeCell ref="H15:I15"/>
    <mergeCell ref="H16:I16"/>
    <mergeCell ref="H17:I17"/>
    <mergeCell ref="H18:I18"/>
  </mergeCells>
  <phoneticPr fontId="6" type="noConversion"/>
  <pageMargins left="0.70866141732283472" right="0.70866141732283472" top="0.74803149606299213" bottom="0.74803149606299213" header="0.31496062992125984" footer="0.31496062992125984"/>
  <pageSetup scale="52" orientation="portrait" r:id="rId1"/>
  <headerFooter>
    <oddFooter>&amp;C&amp;A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3"/>
  <sheetViews>
    <sheetView view="pageBreakPreview" zoomScaleNormal="100" zoomScaleSheetLayoutView="100" workbookViewId="0">
      <selection activeCell="C12" sqref="C12"/>
    </sheetView>
  </sheetViews>
  <sheetFormatPr defaultColWidth="8.85546875" defaultRowHeight="15"/>
  <cols>
    <col min="1" max="1" width="16.28515625" style="3" customWidth="1"/>
    <col min="2" max="2" width="54.5703125" style="3" customWidth="1"/>
    <col min="3" max="3" width="11.5703125" style="3" bestFit="1" customWidth="1"/>
    <col min="4" max="5" width="11.85546875" style="3" bestFit="1" customWidth="1"/>
    <col min="6" max="6" width="8.85546875" style="3" bestFit="1" customWidth="1"/>
    <col min="7" max="7" width="14.140625" style="3" bestFit="1" customWidth="1"/>
    <col min="8" max="8" width="9" style="3" customWidth="1"/>
    <col min="9" max="9" width="34.28515625" style="3" customWidth="1"/>
    <col min="10" max="16384" width="8.85546875" style="3"/>
  </cols>
  <sheetData>
    <row r="1" spans="1:9" ht="15" customHeight="1">
      <c r="A1" s="58" t="s">
        <v>84</v>
      </c>
      <c r="B1" s="58"/>
      <c r="C1" s="58"/>
      <c r="D1" s="58"/>
      <c r="E1" s="58"/>
      <c r="F1" s="58"/>
      <c r="G1" s="58"/>
      <c r="H1" s="58"/>
      <c r="I1" s="58"/>
    </row>
    <row r="2" spans="1:9">
      <c r="A2" s="58"/>
      <c r="B2" s="58"/>
      <c r="C2" s="58"/>
      <c r="D2" s="58"/>
      <c r="E2" s="58"/>
      <c r="F2" s="58"/>
      <c r="G2" s="58"/>
      <c r="H2" s="58"/>
      <c r="I2" s="58"/>
    </row>
    <row r="3" spans="1:9" ht="30" customHeight="1">
      <c r="A3" s="59"/>
      <c r="B3" s="1" t="s">
        <v>85</v>
      </c>
      <c r="C3" s="60" t="s">
        <v>86</v>
      </c>
      <c r="D3" s="60"/>
      <c r="E3" s="60"/>
      <c r="F3" s="58"/>
      <c r="G3" s="58"/>
      <c r="H3" s="2" t="s">
        <v>87</v>
      </c>
      <c r="I3" s="2"/>
    </row>
    <row r="4" spans="1:9" ht="30" customHeight="1">
      <c r="A4" s="59"/>
      <c r="B4" s="1" t="s">
        <v>88</v>
      </c>
      <c r="C4" s="60" t="s">
        <v>89</v>
      </c>
      <c r="D4" s="60"/>
      <c r="E4" s="60"/>
      <c r="F4" s="58"/>
      <c r="G4" s="58"/>
      <c r="H4" s="2" t="s">
        <v>87</v>
      </c>
      <c r="I4" s="2"/>
    </row>
    <row r="5" spans="1:9" ht="17.25" customHeight="1">
      <c r="A5" s="59"/>
      <c r="B5" s="1"/>
      <c r="C5" s="60" t="s">
        <v>90</v>
      </c>
      <c r="D5" s="60"/>
      <c r="E5" s="60"/>
      <c r="F5" s="61" t="s">
        <v>91</v>
      </c>
      <c r="G5" s="58"/>
      <c r="H5" s="62"/>
      <c r="I5" s="62"/>
    </row>
    <row r="6" spans="1:9" ht="30">
      <c r="A6" s="4" t="s">
        <v>92</v>
      </c>
      <c r="B6" s="4" t="s">
        <v>99</v>
      </c>
      <c r="C6" s="4" t="s">
        <v>100</v>
      </c>
      <c r="D6" s="4" t="s">
        <v>94</v>
      </c>
      <c r="E6" s="4" t="s">
        <v>101</v>
      </c>
      <c r="F6" s="4" t="s">
        <v>102</v>
      </c>
      <c r="G6" s="6" t="s">
        <v>103</v>
      </c>
      <c r="H6" s="56" t="s">
        <v>95</v>
      </c>
      <c r="I6" s="56"/>
    </row>
    <row r="7" spans="1:9" ht="45">
      <c r="A7" s="10" t="s">
        <v>134</v>
      </c>
      <c r="B7" s="25" t="s">
        <v>135</v>
      </c>
      <c r="C7" s="11">
        <f>Datos!C10</f>
        <v>0</v>
      </c>
      <c r="D7" s="7">
        <v>0</v>
      </c>
      <c r="E7" s="7">
        <v>0</v>
      </c>
      <c r="F7" s="11">
        <f>D7-E7</f>
        <v>0</v>
      </c>
      <c r="G7" s="13" t="e">
        <f>1-(F7)/C7</f>
        <v>#DIV/0!</v>
      </c>
      <c r="H7" s="51"/>
      <c r="I7" s="51"/>
    </row>
    <row r="8" spans="1:9" ht="45">
      <c r="A8" s="10" t="s">
        <v>136</v>
      </c>
      <c r="B8" s="25" t="s">
        <v>137</v>
      </c>
      <c r="C8" s="11">
        <f>Datos!C8</f>
        <v>0</v>
      </c>
      <c r="D8" s="7">
        <v>0</v>
      </c>
      <c r="E8" s="7">
        <v>0</v>
      </c>
      <c r="F8" s="11">
        <f t="shared" ref="F8:F41" si="0">D8-E8</f>
        <v>0</v>
      </c>
      <c r="G8" s="13" t="e">
        <f t="shared" ref="G8:G41" si="1">1-(F8)/C8</f>
        <v>#DIV/0!</v>
      </c>
      <c r="H8" s="51"/>
      <c r="I8" s="51"/>
    </row>
    <row r="9" spans="1:9" ht="30">
      <c r="A9" s="10" t="s">
        <v>138</v>
      </c>
      <c r="B9" s="30" t="s">
        <v>139</v>
      </c>
      <c r="C9" s="11">
        <f>Datos!C25</f>
        <v>0</v>
      </c>
      <c r="D9" s="7">
        <v>0</v>
      </c>
      <c r="E9" s="7">
        <v>0</v>
      </c>
      <c r="F9" s="11">
        <f t="shared" si="0"/>
        <v>0</v>
      </c>
      <c r="G9" s="13" t="e">
        <f t="shared" si="1"/>
        <v>#DIV/0!</v>
      </c>
      <c r="H9" s="51"/>
      <c r="I9" s="51"/>
    </row>
    <row r="10" spans="1:9" ht="30">
      <c r="A10" s="10" t="s">
        <v>140</v>
      </c>
      <c r="B10" s="31" t="s">
        <v>141</v>
      </c>
      <c r="C10" s="11">
        <f>Datos!C26</f>
        <v>0</v>
      </c>
      <c r="D10" s="7">
        <v>0</v>
      </c>
      <c r="E10" s="7">
        <v>0</v>
      </c>
      <c r="F10" s="11">
        <f t="shared" si="0"/>
        <v>0</v>
      </c>
      <c r="G10" s="13" t="e">
        <f t="shared" si="1"/>
        <v>#DIV/0!</v>
      </c>
      <c r="H10" s="51"/>
      <c r="I10" s="51"/>
    </row>
    <row r="11" spans="1:9" ht="30">
      <c r="A11" s="10" t="s">
        <v>142</v>
      </c>
      <c r="B11" s="25" t="s">
        <v>143</v>
      </c>
      <c r="C11" s="11">
        <f>Datos!C27</f>
        <v>0</v>
      </c>
      <c r="D11" s="7">
        <v>0</v>
      </c>
      <c r="E11" s="7">
        <v>0</v>
      </c>
      <c r="F11" s="11">
        <f t="shared" si="0"/>
        <v>0</v>
      </c>
      <c r="G11" s="13" t="e">
        <f t="shared" si="1"/>
        <v>#DIV/0!</v>
      </c>
      <c r="H11" s="51"/>
      <c r="I11" s="51"/>
    </row>
    <row r="12" spans="1:9" ht="30">
      <c r="A12" s="10" t="s">
        <v>144</v>
      </c>
      <c r="B12" s="25" t="s">
        <v>145</v>
      </c>
      <c r="C12" s="11">
        <f>Datos!C28</f>
        <v>0</v>
      </c>
      <c r="D12" s="7">
        <v>0</v>
      </c>
      <c r="E12" s="7">
        <v>0</v>
      </c>
      <c r="F12" s="11">
        <f t="shared" si="0"/>
        <v>0</v>
      </c>
      <c r="G12" s="13" t="e">
        <f t="shared" si="1"/>
        <v>#DIV/0!</v>
      </c>
      <c r="H12" s="51"/>
      <c r="I12" s="51"/>
    </row>
    <row r="13" spans="1:9" ht="30">
      <c r="A13" s="10" t="s">
        <v>146</v>
      </c>
      <c r="B13" s="25" t="s">
        <v>147</v>
      </c>
      <c r="C13" s="11">
        <f>Datos!C29</f>
        <v>0</v>
      </c>
      <c r="D13" s="7">
        <v>0</v>
      </c>
      <c r="E13" s="7">
        <v>0</v>
      </c>
      <c r="F13" s="11">
        <f t="shared" si="0"/>
        <v>0</v>
      </c>
      <c r="G13" s="13" t="e">
        <f t="shared" si="1"/>
        <v>#DIV/0!</v>
      </c>
      <c r="H13" s="51"/>
      <c r="I13" s="51"/>
    </row>
    <row r="14" spans="1:9" ht="45">
      <c r="A14" s="10" t="s">
        <v>148</v>
      </c>
      <c r="B14" s="25" t="s">
        <v>149</v>
      </c>
      <c r="C14" s="11">
        <f>Datos!C30</f>
        <v>0</v>
      </c>
      <c r="D14" s="7">
        <v>0</v>
      </c>
      <c r="E14" s="7">
        <v>0</v>
      </c>
      <c r="F14" s="11">
        <f t="shared" si="0"/>
        <v>0</v>
      </c>
      <c r="G14" s="13" t="e">
        <f t="shared" si="1"/>
        <v>#DIV/0!</v>
      </c>
      <c r="H14" s="51"/>
      <c r="I14" s="51"/>
    </row>
    <row r="15" spans="1:9" ht="30">
      <c r="A15" s="10" t="s">
        <v>46</v>
      </c>
      <c r="B15" s="25" t="s">
        <v>150</v>
      </c>
      <c r="C15" s="11">
        <f>Datos!C31</f>
        <v>0</v>
      </c>
      <c r="D15" s="7">
        <v>0</v>
      </c>
      <c r="E15" s="7">
        <v>0</v>
      </c>
      <c r="F15" s="11">
        <f t="shared" si="0"/>
        <v>0</v>
      </c>
      <c r="G15" s="13" t="e">
        <f t="shared" si="1"/>
        <v>#DIV/0!</v>
      </c>
      <c r="H15" s="51"/>
      <c r="I15" s="51"/>
    </row>
    <row r="16" spans="1:9" ht="45">
      <c r="A16" s="10" t="s">
        <v>151</v>
      </c>
      <c r="B16" s="25" t="s">
        <v>152</v>
      </c>
      <c r="C16" s="11">
        <f>Datos!C32</f>
        <v>0</v>
      </c>
      <c r="D16" s="7">
        <v>0</v>
      </c>
      <c r="E16" s="7">
        <v>0</v>
      </c>
      <c r="F16" s="11">
        <f t="shared" si="0"/>
        <v>0</v>
      </c>
      <c r="G16" s="13" t="e">
        <f t="shared" si="1"/>
        <v>#DIV/0!</v>
      </c>
      <c r="H16" s="51"/>
      <c r="I16" s="51"/>
    </row>
    <row r="17" spans="1:9" ht="60">
      <c r="A17" s="10" t="s">
        <v>153</v>
      </c>
      <c r="B17" s="25" t="s">
        <v>154</v>
      </c>
      <c r="C17" s="11">
        <f>Datos!C32</f>
        <v>0</v>
      </c>
      <c r="D17" s="7">
        <v>0</v>
      </c>
      <c r="E17" s="7">
        <v>0</v>
      </c>
      <c r="F17" s="11">
        <f t="shared" si="0"/>
        <v>0</v>
      </c>
      <c r="G17" s="13" t="e">
        <f t="shared" si="1"/>
        <v>#DIV/0!</v>
      </c>
      <c r="H17" s="51"/>
      <c r="I17" s="51"/>
    </row>
    <row r="18" spans="1:9" ht="45">
      <c r="A18" s="10">
        <v>2.16</v>
      </c>
      <c r="B18" s="25" t="s">
        <v>155</v>
      </c>
      <c r="C18" s="11">
        <f>Datos!C10</f>
        <v>0</v>
      </c>
      <c r="D18" s="7">
        <v>0</v>
      </c>
      <c r="E18" s="7">
        <v>0</v>
      </c>
      <c r="F18" s="11">
        <f t="shared" si="0"/>
        <v>0</v>
      </c>
      <c r="G18" s="13" t="e">
        <f t="shared" si="1"/>
        <v>#DIV/0!</v>
      </c>
      <c r="H18" s="51"/>
      <c r="I18" s="51"/>
    </row>
    <row r="19" spans="1:9" ht="30">
      <c r="A19" s="10">
        <v>2.17</v>
      </c>
      <c r="B19" s="15" t="s">
        <v>156</v>
      </c>
      <c r="C19" s="11">
        <f>Datos!C33</f>
        <v>0</v>
      </c>
      <c r="D19" s="7">
        <v>0</v>
      </c>
      <c r="E19" s="7">
        <v>0</v>
      </c>
      <c r="F19" s="11">
        <f t="shared" si="0"/>
        <v>0</v>
      </c>
      <c r="G19" s="13" t="e">
        <f t="shared" si="1"/>
        <v>#DIV/0!</v>
      </c>
      <c r="H19" s="51"/>
      <c r="I19" s="51"/>
    </row>
    <row r="20" spans="1:9" ht="90">
      <c r="A20" s="10">
        <v>2.1800000000000002</v>
      </c>
      <c r="B20" s="15" t="s">
        <v>157</v>
      </c>
      <c r="C20" s="11">
        <f>Datos!C34</f>
        <v>0</v>
      </c>
      <c r="D20" s="7">
        <v>0</v>
      </c>
      <c r="E20" s="7">
        <v>0</v>
      </c>
      <c r="F20" s="11">
        <f t="shared" si="0"/>
        <v>0</v>
      </c>
      <c r="G20" s="13" t="e">
        <f t="shared" si="1"/>
        <v>#DIV/0!</v>
      </c>
      <c r="H20" s="51"/>
      <c r="I20" s="51"/>
    </row>
    <row r="21" spans="1:9" ht="75">
      <c r="A21" s="10" t="s">
        <v>158</v>
      </c>
      <c r="B21" s="25" t="s">
        <v>159</v>
      </c>
      <c r="C21" s="11">
        <f>Datos!C35</f>
        <v>0</v>
      </c>
      <c r="D21" s="7">
        <v>0</v>
      </c>
      <c r="E21" s="7">
        <v>0</v>
      </c>
      <c r="F21" s="11">
        <f t="shared" si="0"/>
        <v>0</v>
      </c>
      <c r="G21" s="13" t="e">
        <f t="shared" si="1"/>
        <v>#DIV/0!</v>
      </c>
      <c r="H21" s="51"/>
      <c r="I21" s="51"/>
    </row>
    <row r="22" spans="1:9" ht="105">
      <c r="A22" s="10">
        <v>2.21</v>
      </c>
      <c r="B22" s="25" t="s">
        <v>160</v>
      </c>
      <c r="C22" s="11">
        <f>Datos!C36</f>
        <v>0</v>
      </c>
      <c r="D22" s="7">
        <v>0</v>
      </c>
      <c r="E22" s="7">
        <v>0</v>
      </c>
      <c r="F22" s="11">
        <f t="shared" si="0"/>
        <v>0</v>
      </c>
      <c r="G22" s="13" t="e">
        <f t="shared" si="1"/>
        <v>#DIV/0!</v>
      </c>
      <c r="H22" s="51"/>
      <c r="I22" s="51"/>
    </row>
    <row r="23" spans="1:9" ht="105">
      <c r="A23" s="10">
        <v>2.2200000000000002</v>
      </c>
      <c r="B23" s="25" t="s">
        <v>161</v>
      </c>
      <c r="C23" s="11">
        <f>Datos!C37</f>
        <v>0</v>
      </c>
      <c r="D23" s="7">
        <v>0</v>
      </c>
      <c r="E23" s="7">
        <v>0</v>
      </c>
      <c r="F23" s="11">
        <f t="shared" si="0"/>
        <v>0</v>
      </c>
      <c r="G23" s="13" t="e">
        <f t="shared" si="1"/>
        <v>#DIV/0!</v>
      </c>
      <c r="H23" s="51"/>
      <c r="I23" s="51"/>
    </row>
    <row r="24" spans="1:9" ht="75">
      <c r="A24" s="10">
        <v>2.23</v>
      </c>
      <c r="B24" s="12" t="s">
        <v>162</v>
      </c>
      <c r="C24" s="11">
        <f>Datos!C38</f>
        <v>0</v>
      </c>
      <c r="D24" s="7">
        <v>0</v>
      </c>
      <c r="E24" s="7">
        <v>0</v>
      </c>
      <c r="F24" s="11">
        <f t="shared" si="0"/>
        <v>0</v>
      </c>
      <c r="G24" s="13" t="e">
        <f t="shared" si="1"/>
        <v>#DIV/0!</v>
      </c>
      <c r="H24" s="51"/>
      <c r="I24" s="51"/>
    </row>
    <row r="25" spans="1:9" ht="60">
      <c r="A25" s="10">
        <v>2.2400000000000002</v>
      </c>
      <c r="B25" s="25" t="s">
        <v>163</v>
      </c>
      <c r="C25" s="11">
        <f>Datos!C36</f>
        <v>0</v>
      </c>
      <c r="D25" s="7">
        <v>0</v>
      </c>
      <c r="E25" s="7">
        <v>0</v>
      </c>
      <c r="F25" s="11">
        <f t="shared" si="0"/>
        <v>0</v>
      </c>
      <c r="G25" s="13" t="e">
        <f t="shared" si="1"/>
        <v>#DIV/0!</v>
      </c>
      <c r="H25" s="51"/>
      <c r="I25" s="51"/>
    </row>
    <row r="26" spans="1:9" ht="45">
      <c r="A26" s="10">
        <v>2.25</v>
      </c>
      <c r="B26" s="31" t="s">
        <v>164</v>
      </c>
      <c r="C26" s="11">
        <f>Datos!C35</f>
        <v>0</v>
      </c>
      <c r="D26" s="7">
        <v>0</v>
      </c>
      <c r="E26" s="7">
        <v>0</v>
      </c>
      <c r="F26" s="11">
        <f t="shared" si="0"/>
        <v>0</v>
      </c>
      <c r="G26" s="13" t="e">
        <f t="shared" si="1"/>
        <v>#DIV/0!</v>
      </c>
      <c r="H26" s="51"/>
      <c r="I26" s="51"/>
    </row>
    <row r="27" spans="1:9" ht="60">
      <c r="A27" s="10">
        <v>2.2599999999999998</v>
      </c>
      <c r="B27" s="25" t="s">
        <v>165</v>
      </c>
      <c r="C27" s="11">
        <f>Datos!C36</f>
        <v>0</v>
      </c>
      <c r="D27" s="7">
        <v>0</v>
      </c>
      <c r="E27" s="7">
        <v>0</v>
      </c>
      <c r="F27" s="11">
        <f t="shared" si="0"/>
        <v>0</v>
      </c>
      <c r="G27" s="13" t="e">
        <f t="shared" si="1"/>
        <v>#DIV/0!</v>
      </c>
      <c r="H27" s="51"/>
      <c r="I27" s="51"/>
    </row>
    <row r="28" spans="1:9" ht="30">
      <c r="A28" s="10">
        <v>2.27</v>
      </c>
      <c r="B28" s="25" t="s">
        <v>166</v>
      </c>
      <c r="C28" s="11">
        <f>Datos!C35</f>
        <v>0</v>
      </c>
      <c r="D28" s="7">
        <v>0</v>
      </c>
      <c r="E28" s="7">
        <v>0</v>
      </c>
      <c r="F28" s="11">
        <f t="shared" si="0"/>
        <v>0</v>
      </c>
      <c r="G28" s="13" t="e">
        <f t="shared" si="1"/>
        <v>#DIV/0!</v>
      </c>
      <c r="H28" s="51"/>
      <c r="I28" s="51"/>
    </row>
    <row r="29" spans="1:9" ht="30">
      <c r="A29" s="10">
        <v>2.2799999999999998</v>
      </c>
      <c r="B29" s="25" t="s">
        <v>167</v>
      </c>
      <c r="C29" s="11">
        <f>Datos!C39</f>
        <v>0</v>
      </c>
      <c r="D29" s="7">
        <v>0</v>
      </c>
      <c r="E29" s="7">
        <v>0</v>
      </c>
      <c r="F29" s="11">
        <f t="shared" si="0"/>
        <v>0</v>
      </c>
      <c r="G29" s="13" t="e">
        <f t="shared" si="1"/>
        <v>#DIV/0!</v>
      </c>
      <c r="H29" s="63"/>
      <c r="I29" s="63"/>
    </row>
    <row r="30" spans="1:9" ht="45">
      <c r="A30" s="10">
        <v>2.29</v>
      </c>
      <c r="B30" s="25" t="s">
        <v>168</v>
      </c>
      <c r="C30" s="11">
        <f>Datos!C36</f>
        <v>0</v>
      </c>
      <c r="D30" s="7">
        <v>0</v>
      </c>
      <c r="E30" s="7">
        <v>0</v>
      </c>
      <c r="F30" s="11">
        <f t="shared" si="0"/>
        <v>0</v>
      </c>
      <c r="G30" s="13" t="e">
        <f t="shared" si="1"/>
        <v>#DIV/0!</v>
      </c>
      <c r="H30" s="51"/>
      <c r="I30" s="51"/>
    </row>
    <row r="31" spans="1:9" ht="45">
      <c r="A31" s="10" t="s">
        <v>62</v>
      </c>
      <c r="B31" s="25" t="s">
        <v>169</v>
      </c>
      <c r="C31" s="11">
        <f>Datos!C40</f>
        <v>0</v>
      </c>
      <c r="D31" s="7">
        <v>0</v>
      </c>
      <c r="E31" s="7">
        <v>0</v>
      </c>
      <c r="F31" s="11">
        <f t="shared" si="0"/>
        <v>0</v>
      </c>
      <c r="G31" s="13" t="e">
        <f t="shared" si="1"/>
        <v>#DIV/0!</v>
      </c>
      <c r="H31" s="51"/>
      <c r="I31" s="51"/>
    </row>
    <row r="32" spans="1:9" ht="45">
      <c r="A32" s="10">
        <v>2.3199999999999998</v>
      </c>
      <c r="B32" s="25" t="s">
        <v>170</v>
      </c>
      <c r="C32" s="11">
        <f>Datos!C39</f>
        <v>0</v>
      </c>
      <c r="D32" s="7">
        <v>0</v>
      </c>
      <c r="E32" s="7">
        <v>0</v>
      </c>
      <c r="F32" s="11">
        <f t="shared" si="0"/>
        <v>0</v>
      </c>
      <c r="G32" s="13" t="e">
        <f t="shared" si="1"/>
        <v>#DIV/0!</v>
      </c>
      <c r="H32" s="51"/>
      <c r="I32" s="51"/>
    </row>
    <row r="33" spans="1:9" ht="45">
      <c r="A33" s="10">
        <v>2.33</v>
      </c>
      <c r="B33" s="25" t="s">
        <v>171</v>
      </c>
      <c r="C33" s="11">
        <f>Datos!C39</f>
        <v>0</v>
      </c>
      <c r="D33" s="7">
        <v>0</v>
      </c>
      <c r="E33" s="7">
        <v>0</v>
      </c>
      <c r="F33" s="11">
        <f t="shared" si="0"/>
        <v>0</v>
      </c>
      <c r="G33" s="13" t="e">
        <f t="shared" si="1"/>
        <v>#DIV/0!</v>
      </c>
      <c r="H33" s="63"/>
      <c r="I33" s="63"/>
    </row>
    <row r="34" spans="1:9" ht="45">
      <c r="A34" s="10">
        <v>2.34</v>
      </c>
      <c r="B34" s="25" t="s">
        <v>172</v>
      </c>
      <c r="C34" s="11">
        <f>Datos!C41</f>
        <v>0</v>
      </c>
      <c r="D34" s="7">
        <v>0</v>
      </c>
      <c r="E34" s="7">
        <v>0</v>
      </c>
      <c r="F34" s="11">
        <f t="shared" si="0"/>
        <v>0</v>
      </c>
      <c r="G34" s="13" t="e">
        <f t="shared" si="1"/>
        <v>#DIV/0!</v>
      </c>
      <c r="H34" s="51"/>
      <c r="I34" s="51"/>
    </row>
    <row r="35" spans="1:9" ht="45">
      <c r="A35" s="10">
        <v>2.35</v>
      </c>
      <c r="B35" s="25" t="s">
        <v>173</v>
      </c>
      <c r="C35" s="11">
        <f>Datos!C42</f>
        <v>0</v>
      </c>
      <c r="D35" s="7">
        <v>0</v>
      </c>
      <c r="E35" s="7">
        <v>0</v>
      </c>
      <c r="F35" s="11">
        <f t="shared" si="0"/>
        <v>0</v>
      </c>
      <c r="G35" s="13" t="e">
        <f t="shared" si="1"/>
        <v>#DIV/0!</v>
      </c>
      <c r="H35" s="51"/>
      <c r="I35" s="51"/>
    </row>
    <row r="36" spans="1:9" ht="30">
      <c r="A36" s="10">
        <v>2.36</v>
      </c>
      <c r="B36" s="33" t="s">
        <v>174</v>
      </c>
      <c r="C36" s="11">
        <f>Datos!C43</f>
        <v>0</v>
      </c>
      <c r="D36" s="7">
        <v>0</v>
      </c>
      <c r="E36" s="7">
        <v>0</v>
      </c>
      <c r="F36" s="11">
        <f t="shared" si="0"/>
        <v>0</v>
      </c>
      <c r="G36" s="13" t="e">
        <f t="shared" si="1"/>
        <v>#DIV/0!</v>
      </c>
      <c r="H36" s="51"/>
      <c r="I36" s="51"/>
    </row>
    <row r="37" spans="1:9" ht="30">
      <c r="A37" s="10">
        <v>2.37</v>
      </c>
      <c r="B37" s="27" t="s">
        <v>175</v>
      </c>
      <c r="C37" s="11">
        <f>Datos!C39</f>
        <v>0</v>
      </c>
      <c r="D37" s="7">
        <v>0</v>
      </c>
      <c r="E37" s="7">
        <v>0</v>
      </c>
      <c r="F37" s="11">
        <f t="shared" si="0"/>
        <v>0</v>
      </c>
      <c r="G37" s="13" t="e">
        <f t="shared" si="1"/>
        <v>#DIV/0!</v>
      </c>
      <c r="H37" s="51"/>
      <c r="I37" s="51"/>
    </row>
    <row r="38" spans="1:9" ht="30">
      <c r="A38" s="10">
        <v>2.38</v>
      </c>
      <c r="B38" s="27" t="s">
        <v>176</v>
      </c>
      <c r="C38" s="11">
        <f>Datos!C9</f>
        <v>0</v>
      </c>
      <c r="D38" s="7">
        <v>0</v>
      </c>
      <c r="E38" s="7">
        <v>0</v>
      </c>
      <c r="F38" s="11">
        <f t="shared" si="0"/>
        <v>0</v>
      </c>
      <c r="G38" s="13" t="e">
        <f t="shared" si="1"/>
        <v>#DIV/0!</v>
      </c>
      <c r="H38" s="63"/>
      <c r="I38" s="63"/>
    </row>
    <row r="39" spans="1:9" ht="60">
      <c r="A39" s="10">
        <v>2.39</v>
      </c>
      <c r="B39" s="28" t="s">
        <v>177</v>
      </c>
      <c r="C39" s="11">
        <f>Datos!C39</f>
        <v>0</v>
      </c>
      <c r="D39" s="7">
        <v>0</v>
      </c>
      <c r="E39" s="7">
        <v>0</v>
      </c>
      <c r="F39" s="11">
        <f t="shared" si="0"/>
        <v>0</v>
      </c>
      <c r="G39" s="13" t="e">
        <f t="shared" si="1"/>
        <v>#DIV/0!</v>
      </c>
      <c r="H39" s="51"/>
      <c r="I39" s="51"/>
    </row>
    <row r="40" spans="1:9" ht="75">
      <c r="A40" s="10" t="s">
        <v>178</v>
      </c>
      <c r="B40" s="34" t="s">
        <v>179</v>
      </c>
      <c r="C40" s="29">
        <f>Datos!C39</f>
        <v>0</v>
      </c>
      <c r="D40" s="7">
        <v>0</v>
      </c>
      <c r="E40" s="7">
        <v>0</v>
      </c>
      <c r="F40" s="11">
        <f t="shared" si="0"/>
        <v>0</v>
      </c>
      <c r="G40" s="13" t="e">
        <f t="shared" si="1"/>
        <v>#DIV/0!</v>
      </c>
      <c r="H40" s="51"/>
      <c r="I40" s="51"/>
    </row>
    <row r="41" spans="1:9" ht="30">
      <c r="A41" s="10">
        <v>2.41</v>
      </c>
      <c r="B41" s="35" t="s">
        <v>180</v>
      </c>
      <c r="C41" s="11">
        <f>Datos!C44</f>
        <v>0</v>
      </c>
      <c r="D41" s="7">
        <v>0</v>
      </c>
      <c r="E41" s="7">
        <v>0</v>
      </c>
      <c r="F41" s="11">
        <f t="shared" si="0"/>
        <v>0</v>
      </c>
      <c r="G41" s="13" t="e">
        <f t="shared" si="1"/>
        <v>#DIV/0!</v>
      </c>
      <c r="H41" s="51"/>
      <c r="I41" s="51"/>
    </row>
    <row r="42" spans="1:9" ht="15.75" customHeight="1">
      <c r="A42" s="52" t="s">
        <v>132</v>
      </c>
      <c r="B42" s="52"/>
      <c r="C42" s="52"/>
      <c r="D42" s="52"/>
      <c r="E42" s="52"/>
      <c r="F42" s="52"/>
      <c r="G42" s="8" t="s">
        <v>133</v>
      </c>
      <c r="H42" s="64"/>
      <c r="I42" s="64"/>
    </row>
    <row r="43" spans="1:9">
      <c r="G43" s="9"/>
    </row>
  </sheetData>
  <mergeCells count="47">
    <mergeCell ref="H20:I20"/>
    <mergeCell ref="H21:I21"/>
    <mergeCell ref="H22:I22"/>
    <mergeCell ref="H15:I15"/>
    <mergeCell ref="H16:I16"/>
    <mergeCell ref="H17:I17"/>
    <mergeCell ref="H18:I18"/>
    <mergeCell ref="H19:I19"/>
    <mergeCell ref="H10:I10"/>
    <mergeCell ref="H11:I11"/>
    <mergeCell ref="H12:I12"/>
    <mergeCell ref="H13:I13"/>
    <mergeCell ref="H14:I14"/>
    <mergeCell ref="H35:I35"/>
    <mergeCell ref="H36:I36"/>
    <mergeCell ref="H37:I37"/>
    <mergeCell ref="H42:I42"/>
    <mergeCell ref="H38:I38"/>
    <mergeCell ref="H39:I39"/>
    <mergeCell ref="H40:I40"/>
    <mergeCell ref="H41:I41"/>
    <mergeCell ref="H30:I30"/>
    <mergeCell ref="H31:I31"/>
    <mergeCell ref="H32:I32"/>
    <mergeCell ref="H33:I33"/>
    <mergeCell ref="H34:I34"/>
    <mergeCell ref="H25:I25"/>
    <mergeCell ref="H26:I26"/>
    <mergeCell ref="H27:I27"/>
    <mergeCell ref="H28:I28"/>
    <mergeCell ref="H29:I29"/>
    <mergeCell ref="A3:A5"/>
    <mergeCell ref="A42:F42"/>
    <mergeCell ref="A1:I2"/>
    <mergeCell ref="C3:E3"/>
    <mergeCell ref="F3:G3"/>
    <mergeCell ref="C4:E4"/>
    <mergeCell ref="F4:G4"/>
    <mergeCell ref="C5:E5"/>
    <mergeCell ref="F5:G5"/>
    <mergeCell ref="H5:I5"/>
    <mergeCell ref="H6:I6"/>
    <mergeCell ref="H7:I7"/>
    <mergeCell ref="H8:I8"/>
    <mergeCell ref="H9:I9"/>
    <mergeCell ref="H23:I23"/>
    <mergeCell ref="H24:I24"/>
  </mergeCells>
  <phoneticPr fontId="6" type="noConversion"/>
  <pageMargins left="0.70866141732283472" right="0.70866141732283472" top="0.74803149606299213" bottom="0.74803149606299213" header="0.31496062992125984" footer="0.31496062992125984"/>
  <pageSetup scale="52" orientation="portrait" r:id="rId1"/>
  <headerFooter>
    <oddFooter>&amp;C&amp;A</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2"/>
  <sheetViews>
    <sheetView view="pageBreakPreview" zoomScale="60" zoomScaleNormal="100" workbookViewId="0">
      <selection activeCell="C7" sqref="C7"/>
    </sheetView>
  </sheetViews>
  <sheetFormatPr defaultColWidth="8.85546875" defaultRowHeight="15"/>
  <cols>
    <col min="1" max="1" width="16.28515625" style="3" customWidth="1"/>
    <col min="2" max="2" width="60.28515625" style="3" customWidth="1"/>
    <col min="3" max="3" width="11.5703125" style="3" bestFit="1" customWidth="1"/>
    <col min="4" max="5" width="11.85546875" style="3" bestFit="1" customWidth="1"/>
    <col min="6" max="6" width="8.85546875" style="3" bestFit="1" customWidth="1"/>
    <col min="7" max="7" width="14.140625" style="3" bestFit="1" customWidth="1"/>
    <col min="8" max="8" width="11.42578125" style="3" customWidth="1"/>
    <col min="9" max="9" width="37.140625" style="3" customWidth="1"/>
    <col min="10" max="16384" width="8.85546875" style="3"/>
  </cols>
  <sheetData>
    <row r="1" spans="1:9" ht="15" customHeight="1">
      <c r="A1" s="58" t="s">
        <v>84</v>
      </c>
      <c r="B1" s="58"/>
      <c r="C1" s="58"/>
      <c r="D1" s="58"/>
      <c r="E1" s="58"/>
      <c r="F1" s="58"/>
      <c r="G1" s="58"/>
      <c r="H1" s="58"/>
      <c r="I1" s="58"/>
    </row>
    <row r="2" spans="1:9">
      <c r="A2" s="58"/>
      <c r="B2" s="58"/>
      <c r="C2" s="58"/>
      <c r="D2" s="58"/>
      <c r="E2" s="58"/>
      <c r="F2" s="58"/>
      <c r="G2" s="58"/>
      <c r="H2" s="58"/>
      <c r="I2" s="58"/>
    </row>
    <row r="3" spans="1:9" ht="32.25" customHeight="1">
      <c r="A3" s="59"/>
      <c r="B3" s="1" t="s">
        <v>85</v>
      </c>
      <c r="C3" s="60" t="s">
        <v>86</v>
      </c>
      <c r="D3" s="60"/>
      <c r="E3" s="60"/>
      <c r="F3" s="58"/>
      <c r="G3" s="58"/>
      <c r="H3" s="2" t="s">
        <v>87</v>
      </c>
      <c r="I3" s="2"/>
    </row>
    <row r="4" spans="1:9" ht="32.25" customHeight="1">
      <c r="A4" s="59"/>
      <c r="B4" s="1" t="s">
        <v>88</v>
      </c>
      <c r="C4" s="60" t="s">
        <v>89</v>
      </c>
      <c r="D4" s="60"/>
      <c r="E4" s="60"/>
      <c r="F4" s="58"/>
      <c r="G4" s="58"/>
      <c r="H4" s="2" t="s">
        <v>87</v>
      </c>
      <c r="I4" s="2"/>
    </row>
    <row r="5" spans="1:9" ht="15.75" customHeight="1">
      <c r="A5" s="59"/>
      <c r="B5" s="1"/>
      <c r="C5" s="60" t="s">
        <v>90</v>
      </c>
      <c r="D5" s="60"/>
      <c r="E5" s="60"/>
      <c r="F5" s="61" t="s">
        <v>91</v>
      </c>
      <c r="G5" s="58"/>
      <c r="H5" s="62"/>
      <c r="I5" s="62"/>
    </row>
    <row r="6" spans="1:9" ht="30">
      <c r="A6" s="4" t="s">
        <v>92</v>
      </c>
      <c r="B6" s="4" t="s">
        <v>99</v>
      </c>
      <c r="C6" s="4" t="s">
        <v>100</v>
      </c>
      <c r="D6" s="4" t="s">
        <v>94</v>
      </c>
      <c r="E6" s="4" t="s">
        <v>101</v>
      </c>
      <c r="F6" s="4" t="s">
        <v>102</v>
      </c>
      <c r="G6" s="6" t="s">
        <v>103</v>
      </c>
      <c r="H6" s="56" t="s">
        <v>95</v>
      </c>
      <c r="I6" s="56"/>
    </row>
    <row r="7" spans="1:9" ht="60">
      <c r="A7" s="25" t="s">
        <v>181</v>
      </c>
      <c r="B7" s="43" t="s">
        <v>182</v>
      </c>
      <c r="C7" s="11">
        <f>Datos!C45</f>
        <v>0</v>
      </c>
      <c r="D7" s="7">
        <v>0</v>
      </c>
      <c r="E7" s="7">
        <v>0</v>
      </c>
      <c r="F7" s="11">
        <f t="shared" ref="F7:F21" si="0">D7-E7</f>
        <v>0</v>
      </c>
      <c r="G7" s="13" t="e">
        <f>1-(F7)/C7</f>
        <v>#DIV/0!</v>
      </c>
      <c r="H7" s="51"/>
      <c r="I7" s="51"/>
    </row>
    <row r="8" spans="1:9" ht="45">
      <c r="A8" s="25" t="s">
        <v>183</v>
      </c>
      <c r="B8" s="15" t="s">
        <v>184</v>
      </c>
      <c r="C8" s="11">
        <f>Datos!C46</f>
        <v>0</v>
      </c>
      <c r="D8" s="7">
        <v>0</v>
      </c>
      <c r="E8" s="7">
        <v>0</v>
      </c>
      <c r="F8" s="11">
        <f t="shared" si="0"/>
        <v>0</v>
      </c>
      <c r="G8" s="13" t="e">
        <f t="shared" ref="G8:G21" si="1">1-(F8)/C8</f>
        <v>#DIV/0!</v>
      </c>
      <c r="H8" s="51"/>
      <c r="I8" s="51"/>
    </row>
    <row r="9" spans="1:9" ht="45">
      <c r="A9" s="25" t="s">
        <v>185</v>
      </c>
      <c r="B9" s="15" t="s">
        <v>186</v>
      </c>
      <c r="C9" s="11">
        <f>Datos!C47</f>
        <v>0</v>
      </c>
      <c r="D9" s="7">
        <v>0</v>
      </c>
      <c r="E9" s="7">
        <v>0</v>
      </c>
      <c r="F9" s="11">
        <f t="shared" si="0"/>
        <v>0</v>
      </c>
      <c r="G9" s="13" t="e">
        <f t="shared" si="1"/>
        <v>#DIV/0!</v>
      </c>
      <c r="H9" s="51"/>
      <c r="I9" s="51"/>
    </row>
    <row r="10" spans="1:9">
      <c r="A10" s="33">
        <v>3.6</v>
      </c>
      <c r="B10" s="37" t="s">
        <v>187</v>
      </c>
      <c r="C10" s="11">
        <f>Datos!C48</f>
        <v>0</v>
      </c>
      <c r="D10" s="7">
        <v>0</v>
      </c>
      <c r="E10" s="7">
        <v>0</v>
      </c>
      <c r="F10" s="11">
        <f t="shared" si="0"/>
        <v>0</v>
      </c>
      <c r="G10" s="13" t="e">
        <f t="shared" si="1"/>
        <v>#DIV/0!</v>
      </c>
      <c r="H10" s="51"/>
      <c r="I10" s="51"/>
    </row>
    <row r="11" spans="1:9" ht="30">
      <c r="A11" s="33">
        <v>3.7</v>
      </c>
      <c r="B11" s="38" t="s">
        <v>188</v>
      </c>
      <c r="C11" s="11">
        <f>Datos!C49</f>
        <v>0</v>
      </c>
      <c r="D11" s="7">
        <v>0</v>
      </c>
      <c r="E11" s="7">
        <v>0</v>
      </c>
      <c r="F11" s="11">
        <f t="shared" si="0"/>
        <v>0</v>
      </c>
      <c r="G11" s="13" t="e">
        <f t="shared" si="1"/>
        <v>#DIV/0!</v>
      </c>
      <c r="H11" s="51"/>
      <c r="I11" s="51"/>
    </row>
    <row r="12" spans="1:9" ht="30">
      <c r="A12" s="33">
        <v>3.8</v>
      </c>
      <c r="B12" s="38" t="s">
        <v>189</v>
      </c>
      <c r="C12" s="11">
        <f>Datos!C48</f>
        <v>0</v>
      </c>
      <c r="D12" s="7">
        <v>0</v>
      </c>
      <c r="E12" s="7">
        <v>0</v>
      </c>
      <c r="F12" s="11">
        <f t="shared" si="0"/>
        <v>0</v>
      </c>
      <c r="G12" s="13" t="e">
        <f t="shared" si="1"/>
        <v>#DIV/0!</v>
      </c>
      <c r="H12" s="51"/>
      <c r="I12" s="51"/>
    </row>
    <row r="13" spans="1:9" ht="135">
      <c r="A13" s="33">
        <v>3.9</v>
      </c>
      <c r="B13" s="15" t="s">
        <v>190</v>
      </c>
      <c r="C13" s="11">
        <f>Datos!C50</f>
        <v>0</v>
      </c>
      <c r="D13" s="7">
        <v>0</v>
      </c>
      <c r="E13" s="7">
        <v>0</v>
      </c>
      <c r="F13" s="11">
        <f t="shared" si="0"/>
        <v>0</v>
      </c>
      <c r="G13" s="13" t="e">
        <f t="shared" si="1"/>
        <v>#DIV/0!</v>
      </c>
      <c r="H13" s="51"/>
      <c r="I13" s="51"/>
    </row>
    <row r="14" spans="1:9" ht="30">
      <c r="A14" s="25">
        <v>3.17</v>
      </c>
      <c r="B14" s="15" t="s">
        <v>191</v>
      </c>
      <c r="C14" s="11">
        <f>Datos!C50</f>
        <v>0</v>
      </c>
      <c r="D14" s="7">
        <v>0</v>
      </c>
      <c r="E14" s="7">
        <v>0</v>
      </c>
      <c r="F14" s="11">
        <f t="shared" si="0"/>
        <v>0</v>
      </c>
      <c r="G14" s="13" t="e">
        <f t="shared" si="1"/>
        <v>#DIV/0!</v>
      </c>
      <c r="H14" s="51"/>
      <c r="I14" s="51"/>
    </row>
    <row r="15" spans="1:9" ht="45">
      <c r="A15" s="25" t="s">
        <v>76</v>
      </c>
      <c r="B15" s="37" t="s">
        <v>192</v>
      </c>
      <c r="C15" s="11">
        <f>Datos!C51</f>
        <v>0</v>
      </c>
      <c r="D15" s="7">
        <v>0</v>
      </c>
      <c r="E15" s="7">
        <v>0</v>
      </c>
      <c r="F15" s="11">
        <f t="shared" si="0"/>
        <v>0</v>
      </c>
      <c r="G15" s="13" t="e">
        <f t="shared" si="1"/>
        <v>#DIV/0!</v>
      </c>
      <c r="H15" s="51"/>
      <c r="I15" s="51"/>
    </row>
    <row r="16" spans="1:9" ht="45">
      <c r="A16" s="25">
        <v>3.21</v>
      </c>
      <c r="B16" s="37" t="s">
        <v>193</v>
      </c>
      <c r="C16" s="11">
        <f>Datos!C52</f>
        <v>0</v>
      </c>
      <c r="D16" s="7">
        <v>0</v>
      </c>
      <c r="E16" s="7">
        <v>0</v>
      </c>
      <c r="F16" s="11">
        <f t="shared" si="0"/>
        <v>0</v>
      </c>
      <c r="G16" s="13" t="e">
        <f t="shared" si="1"/>
        <v>#DIV/0!</v>
      </c>
      <c r="H16" s="51"/>
      <c r="I16" s="51"/>
    </row>
    <row r="17" spans="1:9" ht="45">
      <c r="A17" s="25">
        <v>3.22</v>
      </c>
      <c r="B17" s="37" t="s">
        <v>194</v>
      </c>
      <c r="C17" s="11">
        <f>Datos!C53</f>
        <v>0</v>
      </c>
      <c r="D17" s="7">
        <v>0</v>
      </c>
      <c r="E17" s="7">
        <v>0</v>
      </c>
      <c r="F17" s="11">
        <f t="shared" si="0"/>
        <v>0</v>
      </c>
      <c r="G17" s="13" t="e">
        <f t="shared" si="1"/>
        <v>#DIV/0!</v>
      </c>
      <c r="H17" s="63"/>
      <c r="I17" s="63"/>
    </row>
    <row r="18" spans="1:9">
      <c r="A18" s="25">
        <v>3.25</v>
      </c>
      <c r="B18" s="15" t="s">
        <v>195</v>
      </c>
      <c r="C18" s="11">
        <f>Datos!C54</f>
        <v>0</v>
      </c>
      <c r="D18" s="7">
        <v>0</v>
      </c>
      <c r="E18" s="7">
        <v>0</v>
      </c>
      <c r="F18" s="11">
        <f t="shared" si="0"/>
        <v>0</v>
      </c>
      <c r="G18" s="13" t="e">
        <f t="shared" si="1"/>
        <v>#DIV/0!</v>
      </c>
      <c r="H18" s="51"/>
      <c r="I18" s="51"/>
    </row>
    <row r="19" spans="1:9" ht="30">
      <c r="A19" s="25" t="s">
        <v>196</v>
      </c>
      <c r="B19" s="15" t="s">
        <v>197</v>
      </c>
      <c r="C19" s="11">
        <f>Datos!C54</f>
        <v>0</v>
      </c>
      <c r="D19" s="7">
        <v>0</v>
      </c>
      <c r="E19" s="7">
        <v>0</v>
      </c>
      <c r="F19" s="11">
        <f t="shared" si="0"/>
        <v>0</v>
      </c>
      <c r="G19" s="13" t="e">
        <f t="shared" si="1"/>
        <v>#DIV/0!</v>
      </c>
      <c r="H19" s="51"/>
      <c r="I19" s="51"/>
    </row>
    <row r="20" spans="1:9" ht="60">
      <c r="A20" s="33">
        <v>3.33</v>
      </c>
      <c r="B20" s="39" t="s">
        <v>198</v>
      </c>
      <c r="C20" s="11">
        <f>Datos!C50</f>
        <v>0</v>
      </c>
      <c r="D20" s="7">
        <v>0</v>
      </c>
      <c r="E20" s="7">
        <v>0</v>
      </c>
      <c r="F20" s="11">
        <f t="shared" si="0"/>
        <v>0</v>
      </c>
      <c r="G20" s="13" t="e">
        <f t="shared" si="1"/>
        <v>#DIV/0!</v>
      </c>
      <c r="H20" s="51"/>
      <c r="I20" s="51"/>
    </row>
    <row r="21" spans="1:9">
      <c r="A21" s="33">
        <v>3.36</v>
      </c>
      <c r="B21" s="40" t="s">
        <v>199</v>
      </c>
      <c r="C21" s="11">
        <f>Datos!C50</f>
        <v>0</v>
      </c>
      <c r="D21" s="7">
        <v>0</v>
      </c>
      <c r="E21" s="7">
        <v>0</v>
      </c>
      <c r="F21" s="11">
        <f t="shared" si="0"/>
        <v>0</v>
      </c>
      <c r="G21" s="13" t="e">
        <f t="shared" si="1"/>
        <v>#DIV/0!</v>
      </c>
      <c r="H21" s="51"/>
      <c r="I21" s="51"/>
    </row>
    <row r="22" spans="1:9">
      <c r="A22" s="52" t="s">
        <v>132</v>
      </c>
      <c r="B22" s="52"/>
      <c r="C22" s="52"/>
      <c r="D22" s="52"/>
      <c r="E22" s="52"/>
      <c r="F22" s="52"/>
      <c r="G22" s="8" t="s">
        <v>133</v>
      </c>
      <c r="H22" s="64"/>
      <c r="I22" s="64"/>
    </row>
  </sheetData>
  <mergeCells count="27">
    <mergeCell ref="H19:I19"/>
    <mergeCell ref="H10:I10"/>
    <mergeCell ref="H12:I12"/>
    <mergeCell ref="H13:I13"/>
    <mergeCell ref="H14:I14"/>
    <mergeCell ref="H18:I18"/>
    <mergeCell ref="A1:I2"/>
    <mergeCell ref="C3:E3"/>
    <mergeCell ref="F3:G3"/>
    <mergeCell ref="C4:E4"/>
    <mergeCell ref="F4:G4"/>
    <mergeCell ref="A22:F22"/>
    <mergeCell ref="A3:A5"/>
    <mergeCell ref="C5:E5"/>
    <mergeCell ref="F5:G5"/>
    <mergeCell ref="H5:I5"/>
    <mergeCell ref="H15:I15"/>
    <mergeCell ref="H16:I16"/>
    <mergeCell ref="H17:I17"/>
    <mergeCell ref="H20:I20"/>
    <mergeCell ref="H11:I11"/>
    <mergeCell ref="H22:I22"/>
    <mergeCell ref="H6:I6"/>
    <mergeCell ref="H7:I7"/>
    <mergeCell ref="H8:I8"/>
    <mergeCell ref="H9:I9"/>
    <mergeCell ref="H21:I21"/>
  </mergeCells>
  <pageMargins left="0.70866141732283472" right="0.70866141732283472" top="0.74803149606299213" bottom="0.74803149606299213" header="0.31496062992125984" footer="0.31496062992125984"/>
  <pageSetup scale="49" orientation="portrait" r:id="rId1"/>
  <headerFooter>
    <oddFooter>&amp;C&amp;A</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
  <sheetViews>
    <sheetView view="pageBreakPreview" zoomScale="60" zoomScaleNormal="100" workbookViewId="0">
      <selection activeCell="C8" sqref="C8"/>
    </sheetView>
  </sheetViews>
  <sheetFormatPr defaultColWidth="8.85546875" defaultRowHeight="15"/>
  <cols>
    <col min="1" max="1" width="16.42578125" style="3" customWidth="1"/>
    <col min="2" max="2" width="53.85546875" style="3" customWidth="1"/>
    <col min="3" max="3" width="11.5703125" style="3" bestFit="1" customWidth="1"/>
    <col min="4" max="5" width="11.85546875" style="3" bestFit="1" customWidth="1"/>
    <col min="6" max="6" width="8.85546875" style="3" bestFit="1" customWidth="1"/>
    <col min="7" max="7" width="14.140625" style="3" bestFit="1" customWidth="1"/>
    <col min="8" max="8" width="10.42578125" style="3" customWidth="1"/>
    <col min="9" max="9" width="34.140625" style="3" customWidth="1"/>
    <col min="10" max="16384" width="8.85546875" style="3"/>
  </cols>
  <sheetData>
    <row r="1" spans="1:9" ht="15" customHeight="1">
      <c r="A1" s="58" t="s">
        <v>84</v>
      </c>
      <c r="B1" s="58"/>
      <c r="C1" s="58"/>
      <c r="D1" s="58"/>
      <c r="E1" s="58"/>
      <c r="F1" s="58"/>
      <c r="G1" s="58"/>
      <c r="H1" s="58"/>
      <c r="I1" s="58"/>
    </row>
    <row r="2" spans="1:9">
      <c r="A2" s="58"/>
      <c r="B2" s="58"/>
      <c r="C2" s="58"/>
      <c r="D2" s="58"/>
      <c r="E2" s="58"/>
      <c r="F2" s="58"/>
      <c r="G2" s="58"/>
      <c r="H2" s="58"/>
      <c r="I2" s="58"/>
    </row>
    <row r="3" spans="1:9" ht="33.75" customHeight="1">
      <c r="A3" s="59"/>
      <c r="B3" s="1" t="s">
        <v>85</v>
      </c>
      <c r="C3" s="60" t="s">
        <v>86</v>
      </c>
      <c r="D3" s="60"/>
      <c r="E3" s="60"/>
      <c r="F3" s="58"/>
      <c r="G3" s="58"/>
      <c r="H3" s="2" t="s">
        <v>87</v>
      </c>
      <c r="I3" s="2"/>
    </row>
    <row r="4" spans="1:9" ht="33.75" customHeight="1">
      <c r="A4" s="59"/>
      <c r="B4" s="1" t="s">
        <v>88</v>
      </c>
      <c r="C4" s="60" t="s">
        <v>89</v>
      </c>
      <c r="D4" s="60"/>
      <c r="E4" s="60"/>
      <c r="F4" s="58"/>
      <c r="G4" s="58"/>
      <c r="H4" s="2" t="s">
        <v>87</v>
      </c>
      <c r="I4" s="2"/>
    </row>
    <row r="5" spans="1:9" ht="16.5" customHeight="1">
      <c r="A5" s="59"/>
      <c r="B5" s="1"/>
      <c r="C5" s="60" t="s">
        <v>90</v>
      </c>
      <c r="D5" s="60"/>
      <c r="E5" s="60"/>
      <c r="F5" s="61" t="s">
        <v>91</v>
      </c>
      <c r="G5" s="58"/>
      <c r="H5" s="62"/>
      <c r="I5" s="62"/>
    </row>
    <row r="6" spans="1:9" ht="30">
      <c r="A6" s="4" t="s">
        <v>92</v>
      </c>
      <c r="B6" s="4" t="s">
        <v>99</v>
      </c>
      <c r="C6" s="4" t="s">
        <v>100</v>
      </c>
      <c r="D6" s="4" t="s">
        <v>94</v>
      </c>
      <c r="E6" s="4" t="s">
        <v>101</v>
      </c>
      <c r="F6" s="4" t="s">
        <v>102</v>
      </c>
      <c r="G6" s="6" t="s">
        <v>103</v>
      </c>
      <c r="H6" s="56" t="s">
        <v>95</v>
      </c>
      <c r="I6" s="56"/>
    </row>
    <row r="7" spans="1:9" ht="45">
      <c r="A7" s="36" t="s">
        <v>200</v>
      </c>
      <c r="B7" s="42" t="s">
        <v>201</v>
      </c>
      <c r="C7" s="11">
        <f>Datos!C56</f>
        <v>0</v>
      </c>
      <c r="D7" s="7">
        <v>0</v>
      </c>
      <c r="E7" s="7">
        <v>0</v>
      </c>
      <c r="F7" s="11">
        <f>D7-E7</f>
        <v>0</v>
      </c>
      <c r="G7" s="13" t="e">
        <f>1-(F7)/C7</f>
        <v>#DIV/0!</v>
      </c>
      <c r="H7" s="51"/>
      <c r="I7" s="51"/>
    </row>
    <row r="8" spans="1:9" ht="90">
      <c r="A8" s="36" t="s">
        <v>202</v>
      </c>
      <c r="B8" s="42" t="s">
        <v>203</v>
      </c>
      <c r="C8" s="11">
        <f>Datos!C57</f>
        <v>0</v>
      </c>
      <c r="D8" s="7">
        <v>0</v>
      </c>
      <c r="E8" s="7">
        <v>0</v>
      </c>
      <c r="F8" s="11">
        <f>D8-E8</f>
        <v>0</v>
      </c>
      <c r="G8" s="13" t="e">
        <f t="shared" ref="G8" si="0">1-(F8)/C8</f>
        <v>#DIV/0!</v>
      </c>
      <c r="H8" s="51"/>
      <c r="I8" s="51"/>
    </row>
    <row r="9" spans="1:9">
      <c r="A9" s="65" t="s">
        <v>132</v>
      </c>
      <c r="B9" s="65"/>
      <c r="C9" s="65"/>
      <c r="D9" s="65"/>
      <c r="E9" s="65"/>
      <c r="F9" s="65"/>
      <c r="G9" s="8" t="s">
        <v>204</v>
      </c>
      <c r="H9" s="64"/>
      <c r="I9" s="64"/>
    </row>
  </sheetData>
  <mergeCells count="14">
    <mergeCell ref="A1:I2"/>
    <mergeCell ref="H5:I5"/>
    <mergeCell ref="H6:I6"/>
    <mergeCell ref="A9:F9"/>
    <mergeCell ref="A3:A5"/>
    <mergeCell ref="C3:E3"/>
    <mergeCell ref="F3:G3"/>
    <mergeCell ref="C4:E4"/>
    <mergeCell ref="F4:G4"/>
    <mergeCell ref="C5:E5"/>
    <mergeCell ref="F5:G5"/>
    <mergeCell ref="H7:I7"/>
    <mergeCell ref="H8:I8"/>
    <mergeCell ref="H9:I9"/>
  </mergeCells>
  <phoneticPr fontId="6" type="noConversion"/>
  <pageMargins left="0.70866141732283472" right="0.70866141732283472" top="0.74803149606299213" bottom="0.74803149606299213" header="0.31496062992125984" footer="0.31496062992125984"/>
  <pageSetup scale="52" orientation="portrait" r:id="rId1"/>
  <headerFooter>
    <oddFooter>&amp;C&amp;A</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4"/>
  <sheetViews>
    <sheetView tabSelected="1" view="pageBreakPreview" zoomScale="60" zoomScaleNormal="100" workbookViewId="0">
      <selection activeCell="C14" sqref="C14:D14"/>
    </sheetView>
  </sheetViews>
  <sheetFormatPr defaultColWidth="11.42578125" defaultRowHeight="15"/>
  <cols>
    <col min="1" max="1" width="16.28515625" style="5" customWidth="1"/>
    <col min="2" max="2" width="57.7109375" style="3" customWidth="1"/>
    <col min="3" max="4" width="14.42578125" style="3" customWidth="1"/>
    <col min="5" max="5" width="13.7109375" style="3" customWidth="1"/>
    <col min="6" max="6" width="11.42578125" style="3"/>
    <col min="7" max="7" width="16.140625" style="3" customWidth="1"/>
    <col min="8" max="8" width="11.28515625" style="3" customWidth="1"/>
    <col min="9" max="9" width="27.28515625" style="3" customWidth="1"/>
    <col min="10" max="16384" width="11.42578125" style="3"/>
  </cols>
  <sheetData>
    <row r="1" spans="1:9">
      <c r="A1" s="58" t="s">
        <v>84</v>
      </c>
      <c r="B1" s="58"/>
      <c r="C1" s="58"/>
      <c r="D1" s="58"/>
      <c r="E1" s="58"/>
      <c r="F1" s="58"/>
      <c r="G1" s="58"/>
      <c r="H1" s="58"/>
      <c r="I1" s="58"/>
    </row>
    <row r="2" spans="1:9">
      <c r="A2" s="58"/>
      <c r="B2" s="58"/>
      <c r="C2" s="58"/>
      <c r="D2" s="58"/>
      <c r="E2" s="58"/>
      <c r="F2" s="58"/>
      <c r="G2" s="58"/>
      <c r="H2" s="58"/>
      <c r="I2" s="58"/>
    </row>
    <row r="3" spans="1:9" ht="33" customHeight="1">
      <c r="A3" s="59"/>
      <c r="B3" s="1" t="s">
        <v>85</v>
      </c>
      <c r="C3" s="60" t="s">
        <v>86</v>
      </c>
      <c r="D3" s="60"/>
      <c r="E3" s="60"/>
      <c r="F3" s="58"/>
      <c r="G3" s="58"/>
      <c r="H3" s="2" t="s">
        <v>87</v>
      </c>
      <c r="I3" s="2"/>
    </row>
    <row r="4" spans="1:9" ht="33" customHeight="1">
      <c r="A4" s="59"/>
      <c r="B4" s="1" t="s">
        <v>88</v>
      </c>
      <c r="C4" s="60" t="s">
        <v>89</v>
      </c>
      <c r="D4" s="60"/>
      <c r="E4" s="60"/>
      <c r="F4" s="58"/>
      <c r="G4" s="58"/>
      <c r="H4" s="2" t="s">
        <v>87</v>
      </c>
      <c r="I4" s="2"/>
    </row>
    <row r="5" spans="1:9">
      <c r="A5" s="59"/>
      <c r="B5" s="1"/>
      <c r="C5" s="60" t="s">
        <v>90</v>
      </c>
      <c r="D5" s="60"/>
      <c r="E5" s="60"/>
      <c r="F5" s="61" t="s">
        <v>91</v>
      </c>
      <c r="G5" s="58"/>
      <c r="H5" s="62"/>
      <c r="I5" s="62"/>
    </row>
    <row r="6" spans="1:9" ht="15" customHeight="1">
      <c r="A6" s="81" t="s">
        <v>205</v>
      </c>
      <c r="B6" s="81" t="s">
        <v>206</v>
      </c>
      <c r="C6" s="81" t="s">
        <v>207</v>
      </c>
      <c r="D6" s="81"/>
      <c r="E6" s="81" t="s">
        <v>208</v>
      </c>
      <c r="F6" s="81"/>
      <c r="G6" s="79" t="s">
        <v>95</v>
      </c>
      <c r="H6" s="79"/>
      <c r="I6" s="79"/>
    </row>
    <row r="7" spans="1:9">
      <c r="A7" s="81"/>
      <c r="B7" s="81"/>
      <c r="C7" s="81"/>
      <c r="D7" s="81"/>
      <c r="E7" s="81"/>
      <c r="F7" s="81"/>
      <c r="G7" s="79"/>
      <c r="H7" s="79"/>
      <c r="I7" s="79"/>
    </row>
    <row r="8" spans="1:9">
      <c r="A8" s="22">
        <v>0</v>
      </c>
      <c r="B8" s="23" t="s">
        <v>209</v>
      </c>
      <c r="C8" s="71">
        <f>SUM('0. Estructura'!F7:G8)</f>
        <v>0</v>
      </c>
      <c r="D8" s="71"/>
      <c r="E8" s="71" t="s">
        <v>210</v>
      </c>
      <c r="F8" s="71"/>
      <c r="G8" s="80"/>
      <c r="H8" s="80"/>
      <c r="I8" s="80"/>
    </row>
    <row r="9" spans="1:9">
      <c r="A9" s="22">
        <v>1</v>
      </c>
      <c r="B9" s="24" t="s">
        <v>211</v>
      </c>
      <c r="C9" s="71">
        <f>SUM('1. Administrativo'!F7:F33)</f>
        <v>0</v>
      </c>
      <c r="D9" s="71"/>
      <c r="E9" s="72" t="str">
        <f>'1. Administrativo'!G34</f>
        <v xml:space="preserve">Calcular </v>
      </c>
      <c r="F9" s="72"/>
      <c r="G9" s="80"/>
      <c r="H9" s="80"/>
      <c r="I9" s="80"/>
    </row>
    <row r="10" spans="1:9">
      <c r="A10" s="22">
        <v>2</v>
      </c>
      <c r="B10" s="24" t="s">
        <v>212</v>
      </c>
      <c r="C10" s="71">
        <f>SUM('2. Jurídico'!F7:F41)</f>
        <v>0</v>
      </c>
      <c r="D10" s="71"/>
      <c r="E10" s="72" t="str">
        <f>'2. Jurídico'!G42</f>
        <v xml:space="preserve">Calcular </v>
      </c>
      <c r="F10" s="72"/>
      <c r="G10" s="80"/>
      <c r="H10" s="80"/>
      <c r="I10" s="80"/>
    </row>
    <row r="11" spans="1:9">
      <c r="A11" s="22">
        <v>3</v>
      </c>
      <c r="B11" s="24" t="s">
        <v>213</v>
      </c>
      <c r="C11" s="71">
        <f>SUM('3. Fisico'!F7:F21)</f>
        <v>0</v>
      </c>
      <c r="D11" s="71"/>
      <c r="E11" s="72" t="str">
        <f>'3. Fisico'!G22</f>
        <v xml:space="preserve">Calcular </v>
      </c>
      <c r="F11" s="72"/>
      <c r="G11" s="80"/>
      <c r="H11" s="80"/>
      <c r="I11" s="80"/>
    </row>
    <row r="12" spans="1:9">
      <c r="A12" s="22">
        <v>4</v>
      </c>
      <c r="B12" s="24" t="s">
        <v>214</v>
      </c>
      <c r="C12" s="71">
        <f>SUM('4. Economico'!F7:F8)</f>
        <v>0</v>
      </c>
      <c r="D12" s="71"/>
      <c r="E12" s="73" t="str">
        <f>'4. Economico'!G9</f>
        <v>Calcular</v>
      </c>
      <c r="F12" s="73"/>
      <c r="G12" s="80"/>
      <c r="H12" s="80"/>
      <c r="I12" s="80"/>
    </row>
    <row r="13" spans="1:9">
      <c r="A13" s="22">
        <v>5</v>
      </c>
      <c r="B13" s="24" t="s">
        <v>215</v>
      </c>
      <c r="C13" s="76" t="s">
        <v>216</v>
      </c>
      <c r="D13" s="77"/>
      <c r="E13" s="74" t="s">
        <v>216</v>
      </c>
      <c r="F13" s="75"/>
      <c r="G13" s="66"/>
      <c r="H13" s="67"/>
      <c r="I13" s="68"/>
    </row>
    <row r="14" spans="1:9">
      <c r="A14" s="78" t="s">
        <v>98</v>
      </c>
      <c r="B14" s="78"/>
      <c r="C14" s="69">
        <f>SUM(C8:D12)</f>
        <v>0</v>
      </c>
      <c r="D14" s="70"/>
      <c r="E14" s="69" t="e">
        <f>AVERAGE(E9:F12)</f>
        <v>#DIV/0!</v>
      </c>
      <c r="F14" s="70"/>
      <c r="G14" s="82"/>
      <c r="H14" s="83"/>
      <c r="I14" s="84"/>
    </row>
  </sheetData>
  <mergeCells count="36">
    <mergeCell ref="A1:I2"/>
    <mergeCell ref="A3:A5"/>
    <mergeCell ref="C3:E3"/>
    <mergeCell ref="F3:G3"/>
    <mergeCell ref="C4:E4"/>
    <mergeCell ref="F4:G4"/>
    <mergeCell ref="C5:E5"/>
    <mergeCell ref="F5:G5"/>
    <mergeCell ref="H5:I5"/>
    <mergeCell ref="A14:B14"/>
    <mergeCell ref="G6:I7"/>
    <mergeCell ref="G8:I8"/>
    <mergeCell ref="G9:I9"/>
    <mergeCell ref="G10:I10"/>
    <mergeCell ref="G11:I11"/>
    <mergeCell ref="G12:I12"/>
    <mergeCell ref="E6:F7"/>
    <mergeCell ref="C6:D7"/>
    <mergeCell ref="C8:D8"/>
    <mergeCell ref="A6:A7"/>
    <mergeCell ref="B6:B7"/>
    <mergeCell ref="C9:D9"/>
    <mergeCell ref="E8:F8"/>
    <mergeCell ref="E9:F9"/>
    <mergeCell ref="G14:I14"/>
    <mergeCell ref="G13:I13"/>
    <mergeCell ref="C14:D14"/>
    <mergeCell ref="E14:F14"/>
    <mergeCell ref="C10:D10"/>
    <mergeCell ref="C11:D11"/>
    <mergeCell ref="C12:D12"/>
    <mergeCell ref="E10:F10"/>
    <mergeCell ref="E11:F11"/>
    <mergeCell ref="E12:F12"/>
    <mergeCell ref="E13:F13"/>
    <mergeCell ref="C13:D13"/>
  </mergeCells>
  <pageMargins left="0.70866141732283472" right="0.70866141732283472" top="0.74803149606299213" bottom="0.74803149606299213" header="0.31496062992125984" footer="0.31496062992125984"/>
  <pageSetup scale="49" orientation="portrait" r:id="rId1"/>
  <headerFooter>
    <oddFooter>&amp;C&amp;A</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097E2F7C0304141B844255AB8DBA55A" ma:contentTypeVersion="19" ma:contentTypeDescription="Crear nuevo documento." ma:contentTypeScope="" ma:versionID="23364a9b093fda1a77473067a72c47bb">
  <xsd:schema xmlns:xsd="http://www.w3.org/2001/XMLSchema" xmlns:xs="http://www.w3.org/2001/XMLSchema" xmlns:p="http://schemas.microsoft.com/office/2006/metadata/properties" xmlns:ns2="e97766f2-ef9b-4bb5-ad18-8723c83ec747" xmlns:ns3="7adb0af7-b868-4855-b8ca-ffddea8bfdaa" targetNamespace="http://schemas.microsoft.com/office/2006/metadata/properties" ma:root="true" ma:fieldsID="cabc3a2fc65d0509d0971443cf2cbfa8" ns2:_="" ns3:_="">
    <xsd:import namespace="e97766f2-ef9b-4bb5-ad18-8723c83ec747"/>
    <xsd:import namespace="7adb0af7-b868-4855-b8ca-ffddea8bfd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7766f2-ef9b-4bb5-ad18-8723c83ec7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f7177639-5b3b-41ea-846e-d21bebb5f18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db0af7-b868-4855-b8ca-ffddea8bfda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17726fa6-0a75-4582-9972-da73e7534bbc}" ma:internalName="TaxCatchAll" ma:showField="CatchAllData" ma:web="7adb0af7-b868-4855-b8ca-ffddea8bfd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7766f2-ef9b-4bb5-ad18-8723c83ec747">
      <Terms xmlns="http://schemas.microsoft.com/office/infopath/2007/PartnerControls"/>
    </lcf76f155ced4ddcb4097134ff3c332f>
    <TaxCatchAll xmlns="7adb0af7-b868-4855-b8ca-ffddea8bfdaa" xsi:nil="true"/>
  </documentManagement>
</p:properties>
</file>

<file path=customXml/itemProps1.xml><?xml version="1.0" encoding="utf-8"?>
<ds:datastoreItem xmlns:ds="http://schemas.openxmlformats.org/officeDocument/2006/customXml" ds:itemID="{5EDE61B7-5BD6-4A5A-8178-AB4C89C1995B}"/>
</file>

<file path=customXml/itemProps2.xml><?xml version="1.0" encoding="utf-8"?>
<ds:datastoreItem xmlns:ds="http://schemas.openxmlformats.org/officeDocument/2006/customXml" ds:itemID="{87A8A3B0-D025-4F5E-8E1F-931D35F9BD5C}"/>
</file>

<file path=customXml/itemProps3.xml><?xml version="1.0" encoding="utf-8"?>
<ds:datastoreItem xmlns:ds="http://schemas.openxmlformats.org/officeDocument/2006/customXml" ds:itemID="{2C1DAD5B-9775-4DDB-9F1D-EE742C4494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Adolfo Valdivieso Gutierrez</dc:creator>
  <cp:keywords/>
  <dc:description/>
  <cp:lastModifiedBy>Juan Pablo Narvaez Salamanca</cp:lastModifiedBy>
  <cp:revision/>
  <dcterms:created xsi:type="dcterms:W3CDTF">2023-05-18T15:31:47Z</dcterms:created>
  <dcterms:modified xsi:type="dcterms:W3CDTF">2025-11-12T16:36:50Z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0x010100D097E2F7C0304141B844255AB8DBA55A</vt:lpwstr>
  </property>
  <property fmtid="{D5CDD505-2E9C-101B-9397-08002B2CF9AE}" pid="3" name="MediaServiceImageTags">
    <vt:lpwstr/>
  </property>
</Properties>
</file>